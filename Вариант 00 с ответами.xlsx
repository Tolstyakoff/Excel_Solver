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-Data\Поиск решений Excel\"/>
    </mc:Choice>
  </mc:AlternateContent>
  <bookViews>
    <workbookView xWindow="0" yWindow="0" windowWidth="23040" windowHeight="9384" tabRatio="869" activeTab="4"/>
  </bookViews>
  <sheets>
    <sheet name="Оптимальный план" sheetId="1" r:id="rId1"/>
    <sheet name="Штатное расписание" sheetId="3" r:id="rId2"/>
    <sheet name="Транспортная задача" sheetId="5" r:id="rId3"/>
    <sheet name="Портфель инвестиций" sheetId="7" r:id="rId4"/>
    <sheet name="Назначения" sheetId="8" r:id="rId5"/>
  </sheets>
  <definedNames>
    <definedName name="solver_adj" localSheetId="4" hidden="1">Назначения!$C$16:$F$19</definedName>
    <definedName name="solver_adj" localSheetId="0" hidden="1">'Оптимальный план'!$B$19:$D$20</definedName>
    <definedName name="solver_adj" localSheetId="3" hidden="1">'Портфель инвестиций'!$G$6:$G$13</definedName>
    <definedName name="solver_adj" localSheetId="2" hidden="1">'Транспортная задача'!$C$15:$G$18</definedName>
    <definedName name="solver_adj" localSheetId="1" hidden="1">'Штатное расписание'!$F$5:$F$11</definedName>
    <definedName name="solver_cvg" localSheetId="4" hidden="1">0.0001</definedName>
    <definedName name="solver_cvg" localSheetId="0" hidden="1">0.0001</definedName>
    <definedName name="solver_cvg" localSheetId="3" hidden="1">0.0001</definedName>
    <definedName name="solver_cvg" localSheetId="2" hidden="1">0.0001</definedName>
    <definedName name="solver_cvg" localSheetId="1" hidden="1">0.0001</definedName>
    <definedName name="solver_drv" localSheetId="4" hidden="1">1</definedName>
    <definedName name="solver_drv" localSheetId="0" hidden="1">1</definedName>
    <definedName name="solver_drv" localSheetId="3" hidden="1">1</definedName>
    <definedName name="solver_drv" localSheetId="2" hidden="1">1</definedName>
    <definedName name="solver_drv" localSheetId="1" hidden="1">1</definedName>
    <definedName name="solver_eng" localSheetId="4" hidden="1">1</definedName>
    <definedName name="solver_eng" localSheetId="0" hidden="1">1</definedName>
    <definedName name="solver_eng" localSheetId="3" hidden="1">1</definedName>
    <definedName name="solver_eng" localSheetId="2" hidden="1">1</definedName>
    <definedName name="solver_eng" localSheetId="1" hidden="1">2</definedName>
    <definedName name="solver_est" localSheetId="4" hidden="1">1</definedName>
    <definedName name="solver_est" localSheetId="0" hidden="1">1</definedName>
    <definedName name="solver_est" localSheetId="3" hidden="1">1</definedName>
    <definedName name="solver_est" localSheetId="2" hidden="1">1</definedName>
    <definedName name="solver_est" localSheetId="1" hidden="1">1</definedName>
    <definedName name="solver_itr" localSheetId="4" hidden="1">2147483647</definedName>
    <definedName name="solver_itr" localSheetId="0" hidden="1">2147483647</definedName>
    <definedName name="solver_itr" localSheetId="3" hidden="1">2147483647</definedName>
    <definedName name="solver_itr" localSheetId="2" hidden="1">2147483647</definedName>
    <definedName name="solver_itr" localSheetId="1" hidden="1">2147483647</definedName>
    <definedName name="solver_lhs1" localSheetId="4" hidden="1">Назначения!$C$16:$F$19</definedName>
    <definedName name="solver_lhs1" localSheetId="0" hidden="1">'Оптимальный план'!$B$19:$D$20</definedName>
    <definedName name="solver_lhs1" localSheetId="3" hidden="1">'Портфель инвестиций'!$G$6:$G$13</definedName>
    <definedName name="solver_lhs1" localSheetId="2" hidden="1">'Транспортная задача'!$C$15:$G$18</definedName>
    <definedName name="solver_lhs1" localSheetId="1" hidden="1">'Штатное расписание'!$E$5:$E$11</definedName>
    <definedName name="solver_lhs2" localSheetId="4" hidden="1">Назначения!$C$20:$F$20</definedName>
    <definedName name="solver_lhs2" localSheetId="0" hidden="1">'Оптимальный план'!$B$21:$D$21</definedName>
    <definedName name="solver_lhs2" localSheetId="3" hidden="1">'Портфель инвестиций'!$J$8</definedName>
    <definedName name="solver_lhs2" localSheetId="2" hidden="1">'Транспортная задача'!$C$19:$G$19</definedName>
    <definedName name="solver_lhs2" localSheetId="1" hidden="1">'Штатное расписание'!$F$5:$F$11</definedName>
    <definedName name="solver_lhs3" localSheetId="4" hidden="1">Назначения!$G$16:$G$19</definedName>
    <definedName name="solver_lhs3" localSheetId="2" hidden="1">'Транспортная задача'!$H$15:$H$18</definedName>
    <definedName name="solver_lhs4" localSheetId="4" hidden="1">Назначения!$H$16:$H$19</definedName>
    <definedName name="solver_mip" localSheetId="4" hidden="1">2147483647</definedName>
    <definedName name="solver_mip" localSheetId="0" hidden="1">2147483647</definedName>
    <definedName name="solver_mip" localSheetId="3" hidden="1">2147483647</definedName>
    <definedName name="solver_mip" localSheetId="2" hidden="1">2147483647</definedName>
    <definedName name="solver_mip" localSheetId="1" hidden="1">2147483647</definedName>
    <definedName name="solver_mni" localSheetId="4" hidden="1">30</definedName>
    <definedName name="solver_mni" localSheetId="0" hidden="1">30</definedName>
    <definedName name="solver_mni" localSheetId="3" hidden="1">30</definedName>
    <definedName name="solver_mni" localSheetId="2" hidden="1">30</definedName>
    <definedName name="solver_mni" localSheetId="1" hidden="1">30</definedName>
    <definedName name="solver_mrt" localSheetId="4" hidden="1">0.075</definedName>
    <definedName name="solver_mrt" localSheetId="0" hidden="1">0.075</definedName>
    <definedName name="solver_mrt" localSheetId="3" hidden="1">0.075</definedName>
    <definedName name="solver_mrt" localSheetId="2" hidden="1">0.075</definedName>
    <definedName name="solver_mrt" localSheetId="1" hidden="1">0.075</definedName>
    <definedName name="solver_msl" localSheetId="4" hidden="1">2</definedName>
    <definedName name="solver_msl" localSheetId="0" hidden="1">2</definedName>
    <definedName name="solver_msl" localSheetId="3" hidden="1">2</definedName>
    <definedName name="solver_msl" localSheetId="2" hidden="1">2</definedName>
    <definedName name="solver_msl" localSheetId="1" hidden="1">2</definedName>
    <definedName name="solver_neg" localSheetId="4" hidden="1">1</definedName>
    <definedName name="solver_neg" localSheetId="0" hidden="1">1</definedName>
    <definedName name="solver_neg" localSheetId="3" hidden="1">1</definedName>
    <definedName name="solver_neg" localSheetId="2" hidden="1">1</definedName>
    <definedName name="solver_neg" localSheetId="1" hidden="1">1</definedName>
    <definedName name="solver_nod" localSheetId="4" hidden="1">2147483647</definedName>
    <definedName name="solver_nod" localSheetId="0" hidden="1">2147483647</definedName>
    <definedName name="solver_nod" localSheetId="3" hidden="1">2147483647</definedName>
    <definedName name="solver_nod" localSheetId="2" hidden="1">2147483647</definedName>
    <definedName name="solver_nod" localSheetId="1" hidden="1">2147483647</definedName>
    <definedName name="solver_num" localSheetId="4" hidden="1">4</definedName>
    <definedName name="solver_num" localSheetId="0" hidden="1">2</definedName>
    <definedName name="solver_num" localSheetId="3" hidden="1">2</definedName>
    <definedName name="solver_num" localSheetId="2" hidden="1">3</definedName>
    <definedName name="solver_num" localSheetId="1" hidden="1">2</definedName>
    <definedName name="solver_nwt" localSheetId="4" hidden="1">1</definedName>
    <definedName name="solver_nwt" localSheetId="0" hidden="1">1</definedName>
    <definedName name="solver_nwt" localSheetId="3" hidden="1">1</definedName>
    <definedName name="solver_nwt" localSheetId="2" hidden="1">1</definedName>
    <definedName name="solver_nwt" localSheetId="1" hidden="1">1</definedName>
    <definedName name="solver_opt" localSheetId="4" hidden="1">Назначения!$J$16</definedName>
    <definedName name="solver_opt" localSheetId="0" hidden="1">'Оптимальный план'!$G$21</definedName>
    <definedName name="solver_opt" localSheetId="3" hidden="1">'Портфель инвестиций'!$J$9</definedName>
    <definedName name="solver_opt" localSheetId="2" hidden="1">'Транспортная задача'!$J$21</definedName>
    <definedName name="solver_opt" localSheetId="1" hidden="1">'Штатное расписание'!$H$15</definedName>
    <definedName name="solver_pre" localSheetId="4" hidden="1">0.000001</definedName>
    <definedName name="solver_pre" localSheetId="0" hidden="1">0.000001</definedName>
    <definedName name="solver_pre" localSheetId="3" hidden="1">0.000001</definedName>
    <definedName name="solver_pre" localSheetId="2" hidden="1">0.000001</definedName>
    <definedName name="solver_pre" localSheetId="1" hidden="1">0.000001</definedName>
    <definedName name="solver_rbv" localSheetId="4" hidden="1">1</definedName>
    <definedName name="solver_rbv" localSheetId="0" hidden="1">1</definedName>
    <definedName name="solver_rbv" localSheetId="3" hidden="1">1</definedName>
    <definedName name="solver_rbv" localSheetId="2" hidden="1">1</definedName>
    <definedName name="solver_rbv" localSheetId="1" hidden="1">1</definedName>
    <definedName name="solver_rel1" localSheetId="4" hidden="1">5</definedName>
    <definedName name="solver_rel1" localSheetId="0" hidden="1">4</definedName>
    <definedName name="solver_rel1" localSheetId="3" hidden="1">5</definedName>
    <definedName name="solver_rel1" localSheetId="2" hidden="1">4</definedName>
    <definedName name="solver_rel1" localSheetId="1" hidden="1">3</definedName>
    <definedName name="solver_rel2" localSheetId="4" hidden="1">2</definedName>
    <definedName name="solver_rel2" localSheetId="0" hidden="1">1</definedName>
    <definedName name="solver_rel2" localSheetId="3" hidden="1">1</definedName>
    <definedName name="solver_rel2" localSheetId="2" hidden="1">3</definedName>
    <definedName name="solver_rel2" localSheetId="1" hidden="1">4</definedName>
    <definedName name="solver_rel3" localSheetId="4" hidden="1">2</definedName>
    <definedName name="solver_rel3" localSheetId="2" hidden="1">1</definedName>
    <definedName name="solver_rel4" localSheetId="4" hidden="1">3</definedName>
    <definedName name="solver_rhs1" localSheetId="4" hidden="1">бинарное</definedName>
    <definedName name="solver_rhs1" localSheetId="0" hidden="1">целое</definedName>
    <definedName name="solver_rhs1" localSheetId="3" hidden="1">бинарное</definedName>
    <definedName name="solver_rhs1" localSheetId="2" hidden="1">целое</definedName>
    <definedName name="solver_rhs1" localSheetId="1" hidden="1">'Штатное расписание'!$C$5:$C$11</definedName>
    <definedName name="solver_rhs2" localSheetId="4" hidden="1">1</definedName>
    <definedName name="solver_rhs2" localSheetId="0" hidden="1">'Оптимальный план'!$B$8:$D$8</definedName>
    <definedName name="solver_rhs2" localSheetId="3" hidden="1">'Портфель инвестиций'!$E$6</definedName>
    <definedName name="solver_rhs2" localSheetId="2" hidden="1">'Транспортная задача'!$C$11:$G$11</definedName>
    <definedName name="solver_rhs2" localSheetId="1" hidden="1">целое</definedName>
    <definedName name="solver_rhs3" localSheetId="4" hidden="1">1</definedName>
    <definedName name="solver_rhs3" localSheetId="2" hidden="1">'Транспортная задача'!$H$7:$H$10</definedName>
    <definedName name="solver_rhs4" localSheetId="4" hidden="1">Назначения!$I$16</definedName>
    <definedName name="solver_rlx" localSheetId="4" hidden="1">2</definedName>
    <definedName name="solver_rlx" localSheetId="0" hidden="1">2</definedName>
    <definedName name="solver_rlx" localSheetId="3" hidden="1">2</definedName>
    <definedName name="solver_rlx" localSheetId="2" hidden="1">2</definedName>
    <definedName name="solver_rlx" localSheetId="1" hidden="1">2</definedName>
    <definedName name="solver_rsd" localSheetId="4" hidden="1">0</definedName>
    <definedName name="solver_rsd" localSheetId="0" hidden="1">0</definedName>
    <definedName name="solver_rsd" localSheetId="3" hidden="1">0</definedName>
    <definedName name="solver_rsd" localSheetId="2" hidden="1">0</definedName>
    <definedName name="solver_rsd" localSheetId="1" hidden="1">0</definedName>
    <definedName name="solver_scl" localSheetId="4" hidden="1">1</definedName>
    <definedName name="solver_scl" localSheetId="0" hidden="1">1</definedName>
    <definedName name="solver_scl" localSheetId="3" hidden="1">1</definedName>
    <definedName name="solver_scl" localSheetId="2" hidden="1">1</definedName>
    <definedName name="solver_scl" localSheetId="1" hidden="1">1</definedName>
    <definedName name="solver_sho" localSheetId="4" hidden="1">2</definedName>
    <definedName name="solver_sho" localSheetId="0" hidden="1">2</definedName>
    <definedName name="solver_sho" localSheetId="3" hidden="1">2</definedName>
    <definedName name="solver_sho" localSheetId="2" hidden="1">2</definedName>
    <definedName name="solver_sho" localSheetId="1" hidden="1">2</definedName>
    <definedName name="solver_ssz" localSheetId="4" hidden="1">100</definedName>
    <definedName name="solver_ssz" localSheetId="0" hidden="1">100</definedName>
    <definedName name="solver_ssz" localSheetId="3" hidden="1">100</definedName>
    <definedName name="solver_ssz" localSheetId="2" hidden="1">100</definedName>
    <definedName name="solver_ssz" localSheetId="1" hidden="1">100</definedName>
    <definedName name="solver_tim" localSheetId="4" hidden="1">2147483647</definedName>
    <definedName name="solver_tim" localSheetId="0" hidden="1">2147483647</definedName>
    <definedName name="solver_tim" localSheetId="3" hidden="1">2147483647</definedName>
    <definedName name="solver_tim" localSheetId="2" hidden="1">2147483647</definedName>
    <definedName name="solver_tim" localSheetId="1" hidden="1">2147483647</definedName>
    <definedName name="solver_tol" localSheetId="4" hidden="1">0.01</definedName>
    <definedName name="solver_tol" localSheetId="0" hidden="1">0.01</definedName>
    <definedName name="solver_tol" localSheetId="3" hidden="1">0.01</definedName>
    <definedName name="solver_tol" localSheetId="2" hidden="1">0.01</definedName>
    <definedName name="solver_tol" localSheetId="1" hidden="1">0.01</definedName>
    <definedName name="solver_typ" localSheetId="4" hidden="1">2</definedName>
    <definedName name="solver_typ" localSheetId="0" hidden="1">1</definedName>
    <definedName name="solver_typ" localSheetId="3" hidden="1">1</definedName>
    <definedName name="solver_typ" localSheetId="2" hidden="1">2</definedName>
    <definedName name="solver_typ" localSheetId="1" hidden="1">2</definedName>
    <definedName name="solver_val" localSheetId="4" hidden="1">0</definedName>
    <definedName name="solver_val" localSheetId="0" hidden="1">0</definedName>
    <definedName name="solver_val" localSheetId="3" hidden="1">0</definedName>
    <definedName name="solver_val" localSheetId="2" hidden="1">0</definedName>
    <definedName name="solver_val" localSheetId="1" hidden="1">0</definedName>
    <definedName name="solver_ver" localSheetId="4" hidden="1">3</definedName>
    <definedName name="solver_ver" localSheetId="0" hidden="1">3</definedName>
    <definedName name="solver_ver" localSheetId="3" hidden="1">3</definedName>
    <definedName name="solver_ver" localSheetId="2" hidden="1">3</definedName>
    <definedName name="solver_ver" localSheetId="1" hidden="1">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8" l="1"/>
  <c r="H18" i="8"/>
  <c r="H19" i="8"/>
  <c r="H16" i="8"/>
  <c r="D20" i="8"/>
  <c r="E20" i="8"/>
  <c r="F20" i="8"/>
  <c r="J16" i="8"/>
  <c r="I16" i="8" s="1"/>
  <c r="G19" i="8"/>
  <c r="G18" i="8"/>
  <c r="G17" i="8"/>
  <c r="G16" i="8"/>
  <c r="C20" i="8"/>
  <c r="J9" i="7"/>
  <c r="J8" i="7"/>
  <c r="J21" i="5"/>
  <c r="H16" i="5"/>
  <c r="H17" i="5"/>
  <c r="H18" i="5"/>
  <c r="H15" i="5"/>
  <c r="D19" i="5"/>
  <c r="E19" i="5"/>
  <c r="F19" i="5"/>
  <c r="G19" i="5"/>
  <c r="C19" i="5"/>
  <c r="E11" i="3"/>
  <c r="E10" i="3"/>
  <c r="E9" i="3"/>
  <c r="E8" i="3"/>
  <c r="E7" i="3"/>
  <c r="E6" i="3"/>
  <c r="E5" i="3"/>
  <c r="H15" i="3" s="1"/>
  <c r="C21" i="1"/>
  <c r="D21" i="1"/>
  <c r="B21" i="1"/>
  <c r="E20" i="1" l="1"/>
  <c r="E19" i="1"/>
  <c r="G21" i="1" l="1"/>
</calcChain>
</file>

<file path=xl/sharedStrings.xml><?xml version="1.0" encoding="utf-8"?>
<sst xmlns="http://schemas.openxmlformats.org/spreadsheetml/2006/main" count="106" uniqueCount="63">
  <si>
    <t>Изделия</t>
  </si>
  <si>
    <t>Цех (участок)</t>
  </si>
  <si>
    <t>Цена изделия</t>
  </si>
  <si>
    <t>Ц1</t>
  </si>
  <si>
    <t>Ц2</t>
  </si>
  <si>
    <t>Ц3</t>
  </si>
  <si>
    <t>И1</t>
  </si>
  <si>
    <t>И2</t>
  </si>
  <si>
    <t>Максимальная загрузка</t>
  </si>
  <si>
    <t>Таблица А</t>
  </si>
  <si>
    <t>Таблица В</t>
  </si>
  <si>
    <r>
      <t>С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</si>
  <si>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t>https://tolstyakoff.ru</t>
  </si>
  <si>
    <t>Таблица B</t>
  </si>
  <si>
    <t>Оплата труда</t>
  </si>
  <si>
    <t>Дни недели</t>
  </si>
  <si>
    <t>Стоимость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</si>
  <si>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</si>
  <si>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</si>
  <si>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</si>
  <si>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</si>
  <si>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</si>
  <si>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</si>
  <si>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</si>
  <si>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Кол-во служащих</t>
  </si>
  <si>
    <t>Требуются</t>
  </si>
  <si>
    <t>День недели</t>
  </si>
  <si>
    <t>Лос-Анджелес</t>
  </si>
  <si>
    <t>Даллас</t>
  </si>
  <si>
    <t>Сент-Луис</t>
  </si>
  <si>
    <t>Вашингтон</t>
  </si>
  <si>
    <t>Атланта</t>
  </si>
  <si>
    <t>Денвер</t>
  </si>
  <si>
    <t>Бостон</t>
  </si>
  <si>
    <t>Новый Орлеан</t>
  </si>
  <si>
    <t>Проект</t>
  </si>
  <si>
    <t>Затраты (I)</t>
  </si>
  <si>
    <t>Прибыль (P)</t>
  </si>
  <si>
    <t>Таблица Б</t>
  </si>
  <si>
    <t>S</t>
  </si>
  <si>
    <t>Виды работ</t>
  </si>
  <si>
    <t>A</t>
  </si>
  <si>
    <t>B</t>
  </si>
  <si>
    <t>C</t>
  </si>
  <si>
    <t>D</t>
  </si>
  <si>
    <t>Рабочие</t>
  </si>
  <si>
    <t>Целевая функция</t>
  </si>
  <si>
    <t>Бригада</t>
  </si>
  <si>
    <t>Выходные</t>
  </si>
  <si>
    <t>суббота, воскресенье</t>
  </si>
  <si>
    <t>воскресенье, понедельник</t>
  </si>
  <si>
    <t>понедельник, вторник</t>
  </si>
  <si>
    <t>вторник, среда</t>
  </si>
  <si>
    <t>среда, четверг</t>
  </si>
  <si>
    <t>четверг, пятница</t>
  </si>
  <si>
    <t>пятница,суббота</t>
  </si>
  <si>
    <t>Факт</t>
  </si>
  <si>
    <t>Кол-во</t>
  </si>
  <si>
    <t>Участие</t>
  </si>
  <si>
    <t>Затраты</t>
  </si>
  <si>
    <t>Прибыль</t>
  </si>
  <si>
    <t>Зп.рабочего</t>
  </si>
  <si>
    <t>Норма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</si>
</sst>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vertAlign val="subscript"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B0B1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Fill="1"/>
    <xf numFmtId="0" fontId="0" fillId="3" borderId="0" xfId="0" applyFill="1"/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0" xfId="0" applyFont="1" applyFill="1"/>
    <xf numFmtId="16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5" fillId="0" borderId="0" xfId="1" applyFill="1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0" fillId="0" borderId="10" xfId="0" applyBorder="1"/>
    <xf numFmtId="0" fontId="3" fillId="0" borderId="11" xfId="0" applyFont="1" applyBorder="1" applyAlignment="1">
      <alignment vertical="center" wrapText="1"/>
    </xf>
    <xf numFmtId="0" fontId="6" fillId="0" borderId="0" xfId="0" applyFont="1"/>
    <xf numFmtId="0" fontId="3" fillId="0" borderId="0" xfId="0" applyFont="1"/>
    <xf numFmtId="0" fontId="3" fillId="0" borderId="1" xfId="0" applyFont="1" applyBorder="1"/>
    <xf numFmtId="0" fontId="3" fillId="5" borderId="5" xfId="0" applyFont="1" applyFill="1" applyBorder="1"/>
    <xf numFmtId="0" fontId="3" fillId="0" borderId="12" xfId="0" applyFont="1" applyBorder="1"/>
    <xf numFmtId="0" fontId="3" fillId="6" borderId="1" xfId="0" applyFont="1" applyFill="1" applyBorder="1"/>
    <xf numFmtId="164" fontId="3" fillId="7" borderId="0" xfId="2" applyNumberFormat="1" applyFont="1" applyFill="1"/>
    <xf numFmtId="0" fontId="2" fillId="0" borderId="0" xfId="0" applyFont="1" applyFill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6" borderId="0" xfId="0" applyFont="1" applyFill="1" applyBorder="1" applyAlignment="1">
      <alignment vertical="center" wrapText="1"/>
    </xf>
    <xf numFmtId="0" fontId="2" fillId="7" borderId="0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8" borderId="0" xfId="0" applyFont="1" applyFill="1"/>
    <xf numFmtId="0" fontId="3" fillId="7" borderId="0" xfId="0" applyFont="1" applyFill="1"/>
    <xf numFmtId="0" fontId="3" fillId="5" borderId="1" xfId="0" applyFont="1" applyFill="1" applyBorder="1"/>
    <xf numFmtId="0" fontId="3" fillId="8" borderId="0" xfId="0" applyFont="1" applyFill="1" applyBorder="1" applyAlignment="1">
      <alignment horizontal="center" vertical="center" wrapText="1"/>
    </xf>
    <xf numFmtId="0" fontId="3" fillId="0" borderId="0" xfId="0" applyFont="1" applyBorder="1"/>
    <xf numFmtId="0" fontId="3" fillId="0" borderId="0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/>
    </xf>
    <xf numFmtId="0" fontId="0" fillId="0" borderId="0" xfId="0" quotePrefix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textRotation="90" wrapText="1"/>
    </xf>
    <xf numFmtId="0" fontId="3" fillId="0" borderId="4" xfId="0" applyFont="1" applyBorder="1" applyAlignment="1">
      <alignment horizontal="center" vertical="center" textRotation="90" wrapText="1"/>
    </xf>
  </cellXfs>
  <cellStyles count="3">
    <cellStyle name="Гиперссылка" xfId="1" builtinId="8"/>
    <cellStyle name="Обычный" xfId="0" builtinId="0"/>
    <cellStyle name="Процентный" xfId="2" builtinId="5"/>
  </cellStyles>
  <dxfs count="1">
    <dxf>
      <fill>
        <patternFill>
          <bgColor theme="5" tint="-0.24994659260841701"/>
        </patternFill>
      </fill>
    </dxf>
  </dxfs>
  <tableStyles count="0" defaultTableStyle="TableStyleMedium2" defaultPivotStyle="PivotStyleLight16"/>
  <colors>
    <mruColors>
      <color rgb="FFD13A7E"/>
      <color rgb="FFFF99FF"/>
      <color rgb="FFA6377C"/>
      <color rgb="FF0B0B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644722</xdr:colOff>
      <xdr:row>0</xdr:row>
      <xdr:rowOff>600159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63482" cy="600159"/>
        </a:xfrm>
        <a:prstGeom prst="rect">
          <a:avLst/>
        </a:prstGeom>
      </xdr:spPr>
    </xdr:pic>
    <xdr:clientData/>
  </xdr:twoCellAnchor>
  <xdr:twoCellAnchor>
    <xdr:from>
      <xdr:col>0</xdr:col>
      <xdr:colOff>906780</xdr:colOff>
      <xdr:row>23</xdr:row>
      <xdr:rowOff>45720</xdr:rowOff>
    </xdr:from>
    <xdr:to>
      <xdr:col>3</xdr:col>
      <xdr:colOff>0</xdr:colOff>
      <xdr:row>25</xdr:row>
      <xdr:rowOff>114300</xdr:rowOff>
    </xdr:to>
    <xdr:sp macro="" textlink="">
      <xdr:nvSpPr>
        <xdr:cNvPr id="4" name="TextBox 3"/>
        <xdr:cNvSpPr txBox="1"/>
      </xdr:nvSpPr>
      <xdr:spPr>
        <a:xfrm>
          <a:off x="906780" y="4709160"/>
          <a:ext cx="2217420" cy="43434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=СУММПРОИЗВ(</a:t>
          </a:r>
          <a:r>
            <a:rPr lang="en-US" sz="1100"/>
            <a:t>B19:B20;B6:B7)</a:t>
          </a:r>
          <a:endParaRPr lang="ru-RU" sz="1100"/>
        </a:p>
      </xdr:txBody>
    </xdr:sp>
    <xdr:clientData/>
  </xdr:twoCellAnchor>
  <xdr:twoCellAnchor>
    <xdr:from>
      <xdr:col>1</xdr:col>
      <xdr:colOff>190500</xdr:colOff>
      <xdr:row>21</xdr:row>
      <xdr:rowOff>15240</xdr:rowOff>
    </xdr:from>
    <xdr:to>
      <xdr:col>1</xdr:col>
      <xdr:colOff>579120</xdr:colOff>
      <xdr:row>23</xdr:row>
      <xdr:rowOff>60960</xdr:rowOff>
    </xdr:to>
    <xdr:sp macro="" textlink="">
      <xdr:nvSpPr>
        <xdr:cNvPr id="5" name="Стрелка вниз 4"/>
        <xdr:cNvSpPr/>
      </xdr:nvSpPr>
      <xdr:spPr>
        <a:xfrm rot="10800000">
          <a:off x="2095500" y="4312920"/>
          <a:ext cx="388620" cy="411480"/>
        </a:xfrm>
        <a:prstGeom prst="downArrow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815340</xdr:colOff>
      <xdr:row>21</xdr:row>
      <xdr:rowOff>22860</xdr:rowOff>
    </xdr:from>
    <xdr:to>
      <xdr:col>6</xdr:col>
      <xdr:colOff>1203960</xdr:colOff>
      <xdr:row>23</xdr:row>
      <xdr:rowOff>68580</xdr:rowOff>
    </xdr:to>
    <xdr:sp macro="" textlink="">
      <xdr:nvSpPr>
        <xdr:cNvPr id="7" name="Стрелка вниз 6"/>
        <xdr:cNvSpPr/>
      </xdr:nvSpPr>
      <xdr:spPr>
        <a:xfrm rot="10800000">
          <a:off x="6134100" y="4320540"/>
          <a:ext cx="388620" cy="411480"/>
        </a:xfrm>
        <a:prstGeom prst="downArrow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655320</xdr:colOff>
      <xdr:row>15</xdr:row>
      <xdr:rowOff>68580</xdr:rowOff>
    </xdr:from>
    <xdr:to>
      <xdr:col>5</xdr:col>
      <xdr:colOff>68580</xdr:colOff>
      <xdr:row>17</xdr:row>
      <xdr:rowOff>114300</xdr:rowOff>
    </xdr:to>
    <xdr:sp macro="" textlink="">
      <xdr:nvSpPr>
        <xdr:cNvPr id="8" name="Стрелка вниз 7"/>
        <xdr:cNvSpPr/>
      </xdr:nvSpPr>
      <xdr:spPr>
        <a:xfrm>
          <a:off x="4389120" y="3253740"/>
          <a:ext cx="388620" cy="411480"/>
        </a:xfrm>
        <a:prstGeom prst="downArrow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632460</xdr:colOff>
      <xdr:row>13</xdr:row>
      <xdr:rowOff>38100</xdr:rowOff>
    </xdr:from>
    <xdr:to>
      <xdr:col>6</xdr:col>
      <xdr:colOff>746760</xdr:colOff>
      <xdr:row>15</xdr:row>
      <xdr:rowOff>99060</xdr:rowOff>
    </xdr:to>
    <xdr:sp macro="" textlink="">
      <xdr:nvSpPr>
        <xdr:cNvPr id="9" name="TextBox 8"/>
        <xdr:cNvSpPr txBox="1"/>
      </xdr:nvSpPr>
      <xdr:spPr>
        <a:xfrm>
          <a:off x="4366260" y="2857500"/>
          <a:ext cx="1699260" cy="42672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=СУММ(</a:t>
          </a:r>
          <a:r>
            <a:rPr lang="en-US" sz="1100"/>
            <a:t>B19:D19)</a:t>
          </a:r>
          <a:endParaRPr lang="ru-RU" sz="1100"/>
        </a:p>
      </xdr:txBody>
    </xdr:sp>
    <xdr:clientData/>
  </xdr:twoCellAnchor>
  <xdr:twoCellAnchor>
    <xdr:from>
      <xdr:col>5</xdr:col>
      <xdr:colOff>586740</xdr:colOff>
      <xdr:row>23</xdr:row>
      <xdr:rowOff>15240</xdr:rowOff>
    </xdr:from>
    <xdr:to>
      <xdr:col>7</xdr:col>
      <xdr:colOff>388620</xdr:colOff>
      <xdr:row>25</xdr:row>
      <xdr:rowOff>76200</xdr:rowOff>
    </xdr:to>
    <xdr:sp macro="" textlink="">
      <xdr:nvSpPr>
        <xdr:cNvPr id="10" name="TextBox 9"/>
        <xdr:cNvSpPr txBox="1"/>
      </xdr:nvSpPr>
      <xdr:spPr>
        <a:xfrm>
          <a:off x="5295900" y="4678680"/>
          <a:ext cx="2164080" cy="42672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=СУММПРОИЗВ(</a:t>
          </a:r>
          <a:r>
            <a:rPr lang="en-US" sz="1100"/>
            <a:t>E19:E20;E6:E7)</a:t>
          </a:r>
          <a:endParaRPr lang="ru-RU" sz="1100"/>
        </a:p>
      </xdr:txBody>
    </xdr:sp>
    <xdr:clientData/>
  </xdr:twoCellAnchor>
  <xdr:twoCellAnchor>
    <xdr:from>
      <xdr:col>7</xdr:col>
      <xdr:colOff>0</xdr:colOff>
      <xdr:row>0</xdr:row>
      <xdr:rowOff>15240</xdr:rowOff>
    </xdr:from>
    <xdr:to>
      <xdr:col>15</xdr:col>
      <xdr:colOff>0</xdr:colOff>
      <xdr:row>16</xdr:row>
      <xdr:rowOff>0</xdr:rowOff>
    </xdr:to>
    <xdr:sp macro="" textlink="">
      <xdr:nvSpPr>
        <xdr:cNvPr id="2" name="TextBox 1"/>
        <xdr:cNvSpPr txBox="1"/>
      </xdr:nvSpPr>
      <xdr:spPr>
        <a:xfrm>
          <a:off x="5981700" y="15240"/>
          <a:ext cx="4876800" cy="29718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следующую задачу с помощью Поиска решения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MS Excel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Предположим, что в трех цехах (Ц1, Ц2,Ц3) изготавливаются два вида изделий И1 и И2. Известна загрузка каждого цеха 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(оцениваемая в данном случае в процентах) при изготовлении каждого из изделий и цена реализуемой продукции в рублях </a:t>
          </a: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.(за1 изделие)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таблице А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Определить, сколько изделий каждого вида следует производить при возможно более полной загрузке цехов, чтобы получить за рассматриваемый плановый период максимальную прибыль.</a:t>
          </a: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задачу также для значений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ru-RU" sz="11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из </a:t>
          </a:r>
          <a:r>
            <a:rPr lang="ru-RU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таблицы </a:t>
          </a:r>
          <a:r>
            <a:rPr lang="en-US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предполагая во всех случаях, что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остается неизменной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 каком случае оптимальный план включает только один вид изделий?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Исходные данные для решения задачи приведены в таблице.</a:t>
          </a:r>
        </a:p>
        <a:p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15240</xdr:rowOff>
    </xdr:from>
    <xdr:to>
      <xdr:col>18</xdr:col>
      <xdr:colOff>0</xdr:colOff>
      <xdr:row>16</xdr:row>
      <xdr:rowOff>0</xdr:rowOff>
    </xdr:to>
    <xdr:sp macro="" textlink="">
      <xdr:nvSpPr>
        <xdr:cNvPr id="2" name="TextBox 1"/>
        <xdr:cNvSpPr txBox="1"/>
      </xdr:nvSpPr>
      <xdr:spPr>
        <a:xfrm>
          <a:off x="8831580" y="15240"/>
          <a:ext cx="4876800" cy="35052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Целью данной задачи является составление оптимального  штатного расписания. Предприятию обслуживания требуется принять на работу служащих при условии, что каждый из них будет работать пять дней в неделю с двумя выходными днями подряд. </a:t>
          </a:r>
        </a:p>
        <a:p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Известно, что предприятию требуется </a:t>
          </a:r>
        </a:p>
        <a:p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А: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Требуется составить с помощью программы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Excel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Поиск решения график работы, который обеспечит выполнение всех работ минимальным составом служащих.</a:t>
          </a:r>
        </a:p>
        <a:p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Пусть оплата труда служащего за 1 день работы составляет: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ru-RU">
            <a:effectLst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на листе 2 задачу составления оптимального штатного расписания при условии, что минимальной должна быть сумма  затрат на оплату труда всех служащих.</a:t>
          </a:r>
        </a:p>
        <a:p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6</xdr:col>
      <xdr:colOff>888562</xdr:colOff>
      <xdr:row>1</xdr:row>
      <xdr:rowOff>1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600"/>
        </a:xfrm>
        <a:prstGeom prst="rect">
          <a:avLst/>
        </a:prstGeom>
      </xdr:spPr>
    </xdr:pic>
    <xdr:clientData/>
  </xdr:twoCellAnchor>
  <xdr:twoCellAnchor>
    <xdr:from>
      <xdr:col>4</xdr:col>
      <xdr:colOff>99060</xdr:colOff>
      <xdr:row>13</xdr:row>
      <xdr:rowOff>30480</xdr:rowOff>
    </xdr:from>
    <xdr:to>
      <xdr:col>6</xdr:col>
      <xdr:colOff>563880</xdr:colOff>
      <xdr:row>15</xdr:row>
      <xdr:rowOff>99060</xdr:rowOff>
    </xdr:to>
    <xdr:sp macro="" textlink="">
      <xdr:nvSpPr>
        <xdr:cNvPr id="5" name="TextBox 4"/>
        <xdr:cNvSpPr txBox="1"/>
      </xdr:nvSpPr>
      <xdr:spPr>
        <a:xfrm>
          <a:off x="3954780" y="3009900"/>
          <a:ext cx="1684020" cy="44196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=F5+F6+F7+F8+F9</a:t>
          </a:r>
          <a:endParaRPr lang="ru-RU" sz="1100"/>
        </a:p>
      </xdr:txBody>
    </xdr:sp>
    <xdr:clientData/>
  </xdr:twoCellAnchor>
  <xdr:twoCellAnchor>
    <xdr:from>
      <xdr:col>4</xdr:col>
      <xdr:colOff>121920</xdr:colOff>
      <xdr:row>11</xdr:row>
      <xdr:rowOff>15240</xdr:rowOff>
    </xdr:from>
    <xdr:to>
      <xdr:col>4</xdr:col>
      <xdr:colOff>510540</xdr:colOff>
      <xdr:row>13</xdr:row>
      <xdr:rowOff>60960</xdr:rowOff>
    </xdr:to>
    <xdr:sp macro="" textlink="">
      <xdr:nvSpPr>
        <xdr:cNvPr id="6" name="Стрелка вниз 5"/>
        <xdr:cNvSpPr/>
      </xdr:nvSpPr>
      <xdr:spPr>
        <a:xfrm rot="10800000">
          <a:off x="3977640" y="2621280"/>
          <a:ext cx="388620" cy="419100"/>
        </a:xfrm>
        <a:prstGeom prst="downArrow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45720</xdr:colOff>
      <xdr:row>16</xdr:row>
      <xdr:rowOff>144780</xdr:rowOff>
    </xdr:from>
    <xdr:to>
      <xdr:col>9</xdr:col>
      <xdr:colOff>38100</xdr:colOff>
      <xdr:row>19</xdr:row>
      <xdr:rowOff>38100</xdr:rowOff>
    </xdr:to>
    <xdr:sp macro="" textlink="">
      <xdr:nvSpPr>
        <xdr:cNvPr id="7" name="TextBox 6"/>
        <xdr:cNvSpPr txBox="1"/>
      </xdr:nvSpPr>
      <xdr:spPr>
        <a:xfrm>
          <a:off x="6096000" y="3680460"/>
          <a:ext cx="2484120" cy="44196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=СУММ(</a:t>
          </a:r>
          <a:r>
            <a:rPr lang="en-US" sz="1100"/>
            <a:t>F5:F11)</a:t>
          </a:r>
          <a:endParaRPr lang="ru-RU" sz="1100"/>
        </a:p>
        <a:p>
          <a:r>
            <a:rPr lang="ru-RU" sz="1100"/>
            <a:t>=СУММПРОИЗВ(</a:t>
          </a:r>
          <a:r>
            <a:rPr lang="en-US" sz="1100"/>
            <a:t>E5:E11;C15:C21)</a:t>
          </a:r>
          <a:endParaRPr lang="ru-RU" sz="1100"/>
        </a:p>
        <a:p>
          <a:endParaRPr lang="ru-RU" sz="1100"/>
        </a:p>
      </xdr:txBody>
    </xdr:sp>
    <xdr:clientData/>
  </xdr:twoCellAnchor>
  <xdr:twoCellAnchor>
    <xdr:from>
      <xdr:col>7</xdr:col>
      <xdr:colOff>106680</xdr:colOff>
      <xdr:row>14</xdr:row>
      <xdr:rowOff>167640</xdr:rowOff>
    </xdr:from>
    <xdr:to>
      <xdr:col>7</xdr:col>
      <xdr:colOff>495300</xdr:colOff>
      <xdr:row>17</xdr:row>
      <xdr:rowOff>30480</xdr:rowOff>
    </xdr:to>
    <xdr:sp macro="" textlink="">
      <xdr:nvSpPr>
        <xdr:cNvPr id="8" name="Стрелка вниз 7"/>
        <xdr:cNvSpPr/>
      </xdr:nvSpPr>
      <xdr:spPr>
        <a:xfrm rot="10800000">
          <a:off x="6156960" y="3329940"/>
          <a:ext cx="388620" cy="419100"/>
        </a:xfrm>
        <a:prstGeom prst="downArrow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0</xdr:row>
      <xdr:rowOff>1</xdr:rowOff>
    </xdr:from>
    <xdr:to>
      <xdr:col>6</xdr:col>
      <xdr:colOff>431362</xdr:colOff>
      <xdr:row>1</xdr:row>
      <xdr:rowOff>0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" y="1"/>
          <a:ext cx="5963482" cy="6095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6</xdr:col>
      <xdr:colOff>416122</xdr:colOff>
      <xdr:row>1</xdr:row>
      <xdr:rowOff>1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600"/>
        </a:xfrm>
        <a:prstGeom prst="rect">
          <a:avLst/>
        </a:prstGeom>
      </xdr:spPr>
    </xdr:pic>
    <xdr:clientData/>
  </xdr:twoCellAnchor>
  <xdr:twoCellAnchor>
    <xdr:from>
      <xdr:col>1</xdr:col>
      <xdr:colOff>137160</xdr:colOff>
      <xdr:row>20</xdr:row>
      <xdr:rowOff>121920</xdr:rowOff>
    </xdr:from>
    <xdr:to>
      <xdr:col>2</xdr:col>
      <xdr:colOff>640080</xdr:colOff>
      <xdr:row>23</xdr:row>
      <xdr:rowOff>15240</xdr:rowOff>
    </xdr:to>
    <xdr:sp macro="" textlink="">
      <xdr:nvSpPr>
        <xdr:cNvPr id="6" name="TextBox 5"/>
        <xdr:cNvSpPr txBox="1"/>
      </xdr:nvSpPr>
      <xdr:spPr>
        <a:xfrm>
          <a:off x="571500" y="4366260"/>
          <a:ext cx="1684020" cy="44196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=СУММ(</a:t>
          </a:r>
          <a:r>
            <a:rPr lang="en-US" sz="1100"/>
            <a:t>C15:C18)</a:t>
          </a:r>
          <a:endParaRPr lang="ru-RU" sz="1100"/>
        </a:p>
      </xdr:txBody>
    </xdr:sp>
    <xdr:clientData/>
  </xdr:twoCellAnchor>
  <xdr:twoCellAnchor>
    <xdr:from>
      <xdr:col>2</xdr:col>
      <xdr:colOff>175260</xdr:colOff>
      <xdr:row>18</xdr:row>
      <xdr:rowOff>175260</xdr:rowOff>
    </xdr:from>
    <xdr:to>
      <xdr:col>2</xdr:col>
      <xdr:colOff>563880</xdr:colOff>
      <xdr:row>21</xdr:row>
      <xdr:rowOff>45720</xdr:rowOff>
    </xdr:to>
    <xdr:sp macro="" textlink="">
      <xdr:nvSpPr>
        <xdr:cNvPr id="7" name="Стрелка вниз 6"/>
        <xdr:cNvSpPr/>
      </xdr:nvSpPr>
      <xdr:spPr>
        <a:xfrm rot="10800000">
          <a:off x="1790700" y="4053840"/>
          <a:ext cx="388620" cy="419100"/>
        </a:xfrm>
        <a:prstGeom prst="downArrow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</xdr:col>
      <xdr:colOff>274320</xdr:colOff>
      <xdr:row>13</xdr:row>
      <xdr:rowOff>76200</xdr:rowOff>
    </xdr:from>
    <xdr:to>
      <xdr:col>10</xdr:col>
      <xdr:colOff>0</xdr:colOff>
      <xdr:row>15</xdr:row>
      <xdr:rowOff>160020</xdr:rowOff>
    </xdr:to>
    <xdr:sp macro="" textlink="">
      <xdr:nvSpPr>
        <xdr:cNvPr id="8" name="TextBox 7"/>
        <xdr:cNvSpPr txBox="1"/>
      </xdr:nvSpPr>
      <xdr:spPr>
        <a:xfrm>
          <a:off x="7376160" y="3048000"/>
          <a:ext cx="1676400" cy="44196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=СУММ(</a:t>
          </a:r>
          <a:r>
            <a:rPr lang="en-US" sz="1100"/>
            <a:t>C15:G15)</a:t>
          </a:r>
          <a:endParaRPr lang="ru-RU" sz="1100"/>
        </a:p>
      </xdr:txBody>
    </xdr:sp>
    <xdr:clientData/>
  </xdr:twoCellAnchor>
  <xdr:twoCellAnchor>
    <xdr:from>
      <xdr:col>8</xdr:col>
      <xdr:colOff>0</xdr:colOff>
      <xdr:row>13</xdr:row>
      <xdr:rowOff>60960</xdr:rowOff>
    </xdr:from>
    <xdr:to>
      <xdr:col>8</xdr:col>
      <xdr:colOff>419100</xdr:colOff>
      <xdr:row>15</xdr:row>
      <xdr:rowOff>91440</xdr:rowOff>
    </xdr:to>
    <xdr:sp macro="" textlink="">
      <xdr:nvSpPr>
        <xdr:cNvPr id="9" name="Стрелка вниз 8"/>
        <xdr:cNvSpPr/>
      </xdr:nvSpPr>
      <xdr:spPr>
        <a:xfrm rot="5400000">
          <a:off x="7117080" y="3017520"/>
          <a:ext cx="388620" cy="419100"/>
        </a:xfrm>
        <a:prstGeom prst="downArrow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</xdr:col>
      <xdr:colOff>647700</xdr:colOff>
      <xdr:row>19</xdr:row>
      <xdr:rowOff>83820</xdr:rowOff>
    </xdr:from>
    <xdr:to>
      <xdr:col>8</xdr:col>
      <xdr:colOff>289560</xdr:colOff>
      <xdr:row>21</xdr:row>
      <xdr:rowOff>160020</xdr:rowOff>
    </xdr:to>
    <xdr:sp macro="" textlink="">
      <xdr:nvSpPr>
        <xdr:cNvPr id="10" name="TextBox 9"/>
        <xdr:cNvSpPr txBox="1"/>
      </xdr:nvSpPr>
      <xdr:spPr>
        <a:xfrm>
          <a:off x="5212080" y="4152900"/>
          <a:ext cx="2179320" cy="44958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=СУММПРОИЗВ(</a:t>
          </a:r>
          <a:r>
            <a:rPr lang="en-US" sz="1100"/>
            <a:t>C15:G18;C7:G10)</a:t>
          </a:r>
          <a:endParaRPr lang="ru-RU" sz="1100"/>
        </a:p>
      </xdr:txBody>
    </xdr:sp>
    <xdr:clientData/>
  </xdr:twoCellAnchor>
  <xdr:twoCellAnchor>
    <xdr:from>
      <xdr:col>8</xdr:col>
      <xdr:colOff>152400</xdr:colOff>
      <xdr:row>19</xdr:row>
      <xdr:rowOff>99060</xdr:rowOff>
    </xdr:from>
    <xdr:to>
      <xdr:col>9</xdr:col>
      <xdr:colOff>15240</xdr:colOff>
      <xdr:row>21</xdr:row>
      <xdr:rowOff>114300</xdr:rowOff>
    </xdr:to>
    <xdr:sp macro="" textlink="">
      <xdr:nvSpPr>
        <xdr:cNvPr id="11" name="Стрелка вниз 10"/>
        <xdr:cNvSpPr/>
      </xdr:nvSpPr>
      <xdr:spPr>
        <a:xfrm rot="16200000">
          <a:off x="7277100" y="4145280"/>
          <a:ext cx="388620" cy="434340"/>
        </a:xfrm>
        <a:prstGeom prst="downArrow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0</xdr:colOff>
      <xdr:row>0</xdr:row>
      <xdr:rowOff>0</xdr:rowOff>
    </xdr:from>
    <xdr:to>
      <xdr:col>17</xdr:col>
      <xdr:colOff>0</xdr:colOff>
      <xdr:row>16</xdr:row>
      <xdr:rowOff>0</xdr:rowOff>
    </xdr:to>
    <xdr:sp macro="" textlink="">
      <xdr:nvSpPr>
        <xdr:cNvPr id="5" name="TextBox 4"/>
        <xdr:cNvSpPr txBox="1"/>
      </xdr:nvSpPr>
      <xdr:spPr>
        <a:xfrm>
          <a:off x="8991600" y="0"/>
          <a:ext cx="4267200" cy="351282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имеет 4 фабрики и 5 центров распределения ее товаров. Фабрики фирмы располагаются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Денвере, Бостоне, Новом Орлеане и Далласе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ежедневно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каждая фабрика выпускает определенное количество продукции, отражено в 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столбце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H</a:t>
          </a:r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Центры распределения товаров фирмы располагаются в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Лос-Анджелесе, Далласе, Сент-Луисе, Вашингтоне и Атланте с ежедневными потребностями,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отраженными в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строке 11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перевозки единицы продукции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c</a:t>
          </a:r>
          <a:r>
            <a:rPr lang="en-US" sz="110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 фабрик в пункты распределения приведена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C7:G4</a:t>
          </a: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Необходимо так спланировать перевозки, чтобы минимизировать суммарные транспортные расходы.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Заполните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таблицу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А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указав количество ежедневно перевозимой продукции из фабоик в центры распределения 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8</xdr:col>
      <xdr:colOff>19882</xdr:colOff>
      <xdr:row>1</xdr:row>
      <xdr:rowOff>0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0</xdr:row>
      <xdr:rowOff>0</xdr:rowOff>
    </xdr:from>
    <xdr:to>
      <xdr:col>19</xdr:col>
      <xdr:colOff>0</xdr:colOff>
      <xdr:row>7</xdr:row>
      <xdr:rowOff>0</xdr:rowOff>
    </xdr:to>
    <xdr:sp macro="" textlink="">
      <xdr:nvSpPr>
        <xdr:cNvPr id="3" name="TextBox 2"/>
        <xdr:cNvSpPr txBox="1"/>
      </xdr:nvSpPr>
      <xdr:spPr>
        <a:xfrm>
          <a:off x="5943600" y="0"/>
          <a:ext cx="4267200" cy="1699846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рассматривает пакет инвестиционных проектов, предварительные результаты анализа которых приведены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А.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Определите оптимальный инвестиционный портфель, для которого суммарная прибыль  принятых проектов будет максимальной. При этом общая сумма затрат на финансирование всех принятых проектов должна быть не больше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Решить задачу для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двух значений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 i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Б</a:t>
          </a:r>
          <a:endParaRPr lang="ru-RU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571500</xdr:colOff>
      <xdr:row>11</xdr:row>
      <xdr:rowOff>15240</xdr:rowOff>
    </xdr:from>
    <xdr:to>
      <xdr:col>10</xdr:col>
      <xdr:colOff>396240</xdr:colOff>
      <xdr:row>13</xdr:row>
      <xdr:rowOff>91440</xdr:rowOff>
    </xdr:to>
    <xdr:sp macro="" textlink="">
      <xdr:nvSpPr>
        <xdr:cNvPr id="4" name="TextBox 3"/>
        <xdr:cNvSpPr txBox="1"/>
      </xdr:nvSpPr>
      <xdr:spPr>
        <a:xfrm>
          <a:off x="5905500" y="2453640"/>
          <a:ext cx="2171700" cy="44196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=СУММПРОИЗВ(</a:t>
          </a:r>
          <a:r>
            <a:rPr lang="en-US" sz="1100"/>
            <a:t>G6:G13;C6:C13)</a:t>
          </a:r>
          <a:endParaRPr lang="ru-RU" sz="1100"/>
        </a:p>
      </xdr:txBody>
    </xdr:sp>
    <xdr:clientData/>
  </xdr:twoCellAnchor>
  <xdr:twoCellAnchor>
    <xdr:from>
      <xdr:col>9</xdr:col>
      <xdr:colOff>99059</xdr:colOff>
      <xdr:row>9</xdr:row>
      <xdr:rowOff>15240</xdr:rowOff>
    </xdr:from>
    <xdr:to>
      <xdr:col>9</xdr:col>
      <xdr:colOff>487679</xdr:colOff>
      <xdr:row>11</xdr:row>
      <xdr:rowOff>68580</xdr:rowOff>
    </xdr:to>
    <xdr:sp macro="" textlink="">
      <xdr:nvSpPr>
        <xdr:cNvPr id="5" name="Стрелка вниз 4"/>
        <xdr:cNvSpPr/>
      </xdr:nvSpPr>
      <xdr:spPr>
        <a:xfrm rot="10800000">
          <a:off x="6804659" y="2087880"/>
          <a:ext cx="388620" cy="419100"/>
        </a:xfrm>
        <a:prstGeom prst="downArrow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586740</xdr:colOff>
      <xdr:row>2</xdr:row>
      <xdr:rowOff>175260</xdr:rowOff>
    </xdr:from>
    <xdr:to>
      <xdr:col>10</xdr:col>
      <xdr:colOff>350520</xdr:colOff>
      <xdr:row>5</xdr:row>
      <xdr:rowOff>68580</xdr:rowOff>
    </xdr:to>
    <xdr:sp macro="" textlink="">
      <xdr:nvSpPr>
        <xdr:cNvPr id="6" name="TextBox 5"/>
        <xdr:cNvSpPr txBox="1"/>
      </xdr:nvSpPr>
      <xdr:spPr>
        <a:xfrm>
          <a:off x="5920740" y="967740"/>
          <a:ext cx="2110740" cy="44196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=СУММПРОИЗВ(</a:t>
          </a:r>
          <a:r>
            <a:rPr lang="en-US" sz="1100"/>
            <a:t>G6:G13;B6:B13)</a:t>
          </a:r>
          <a:endParaRPr lang="ru-RU" sz="1100"/>
        </a:p>
      </xdr:txBody>
    </xdr:sp>
    <xdr:clientData/>
  </xdr:twoCellAnchor>
  <xdr:twoCellAnchor>
    <xdr:from>
      <xdr:col>9</xdr:col>
      <xdr:colOff>106679</xdr:colOff>
      <xdr:row>5</xdr:row>
      <xdr:rowOff>38100</xdr:rowOff>
    </xdr:from>
    <xdr:to>
      <xdr:col>9</xdr:col>
      <xdr:colOff>495299</xdr:colOff>
      <xdr:row>6</xdr:row>
      <xdr:rowOff>167640</xdr:rowOff>
    </xdr:to>
    <xdr:sp macro="" textlink="">
      <xdr:nvSpPr>
        <xdr:cNvPr id="7" name="Стрелка вниз 6"/>
        <xdr:cNvSpPr/>
      </xdr:nvSpPr>
      <xdr:spPr>
        <a:xfrm>
          <a:off x="6812279" y="1379220"/>
          <a:ext cx="388620" cy="312420"/>
        </a:xfrm>
        <a:prstGeom prst="downArrow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8</xdr:col>
      <xdr:colOff>850462</xdr:colOff>
      <xdr:row>1</xdr:row>
      <xdr:rowOff>0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0</xdr:col>
      <xdr:colOff>167640</xdr:colOff>
      <xdr:row>22</xdr:row>
      <xdr:rowOff>7620</xdr:rowOff>
    </xdr:from>
    <xdr:to>
      <xdr:col>3</xdr:col>
      <xdr:colOff>76200</xdr:colOff>
      <xdr:row>24</xdr:row>
      <xdr:rowOff>83820</xdr:rowOff>
    </xdr:to>
    <xdr:sp macro="" textlink="">
      <xdr:nvSpPr>
        <xdr:cNvPr id="4" name="TextBox 3"/>
        <xdr:cNvSpPr txBox="1"/>
      </xdr:nvSpPr>
      <xdr:spPr>
        <a:xfrm>
          <a:off x="167640" y="4640580"/>
          <a:ext cx="1737360" cy="44196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=СУММ(</a:t>
          </a:r>
          <a:r>
            <a:rPr lang="en-US" sz="1100"/>
            <a:t>C16:C19)</a:t>
          </a:r>
          <a:endParaRPr lang="ru-RU" sz="1100"/>
        </a:p>
      </xdr:txBody>
    </xdr:sp>
    <xdr:clientData/>
  </xdr:twoCellAnchor>
  <xdr:twoCellAnchor>
    <xdr:from>
      <xdr:col>2</xdr:col>
      <xdr:colOff>205739</xdr:colOff>
      <xdr:row>20</xdr:row>
      <xdr:rowOff>7620</xdr:rowOff>
    </xdr:from>
    <xdr:to>
      <xdr:col>2</xdr:col>
      <xdr:colOff>594359</xdr:colOff>
      <xdr:row>22</xdr:row>
      <xdr:rowOff>60960</xdr:rowOff>
    </xdr:to>
    <xdr:sp macro="" textlink="">
      <xdr:nvSpPr>
        <xdr:cNvPr id="5" name="Стрелка вниз 4"/>
        <xdr:cNvSpPr/>
      </xdr:nvSpPr>
      <xdr:spPr>
        <a:xfrm rot="10800000">
          <a:off x="1424939" y="4274820"/>
          <a:ext cx="388620" cy="419100"/>
        </a:xfrm>
        <a:prstGeom prst="downArrow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236220</xdr:colOff>
      <xdr:row>21</xdr:row>
      <xdr:rowOff>7620</xdr:rowOff>
    </xdr:from>
    <xdr:to>
      <xdr:col>8</xdr:col>
      <xdr:colOff>1005840</xdr:colOff>
      <xdr:row>23</xdr:row>
      <xdr:rowOff>83820</xdr:rowOff>
    </xdr:to>
    <xdr:sp macro="" textlink="">
      <xdr:nvSpPr>
        <xdr:cNvPr id="6" name="TextBox 5"/>
        <xdr:cNvSpPr txBox="1"/>
      </xdr:nvSpPr>
      <xdr:spPr>
        <a:xfrm>
          <a:off x="3893820" y="4457700"/>
          <a:ext cx="1988820" cy="44196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=СУММ(</a:t>
          </a:r>
          <a:r>
            <a:rPr lang="en-US" sz="1100"/>
            <a:t>C16:F16)</a:t>
          </a:r>
          <a:endParaRPr lang="ru-RU" sz="1100"/>
        </a:p>
      </xdr:txBody>
    </xdr:sp>
    <xdr:clientData/>
  </xdr:twoCellAnchor>
  <xdr:twoCellAnchor>
    <xdr:from>
      <xdr:col>6</xdr:col>
      <xdr:colOff>266699</xdr:colOff>
      <xdr:row>19</xdr:row>
      <xdr:rowOff>7620</xdr:rowOff>
    </xdr:from>
    <xdr:to>
      <xdr:col>7</xdr:col>
      <xdr:colOff>45719</xdr:colOff>
      <xdr:row>21</xdr:row>
      <xdr:rowOff>60960</xdr:rowOff>
    </xdr:to>
    <xdr:sp macro="" textlink="">
      <xdr:nvSpPr>
        <xdr:cNvPr id="7" name="Стрелка вниз 6"/>
        <xdr:cNvSpPr/>
      </xdr:nvSpPr>
      <xdr:spPr>
        <a:xfrm rot="10800000">
          <a:off x="3924299" y="4091940"/>
          <a:ext cx="388620" cy="419100"/>
        </a:xfrm>
        <a:prstGeom prst="downArrow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388620</xdr:colOff>
      <xdr:row>13</xdr:row>
      <xdr:rowOff>114300</xdr:rowOff>
    </xdr:from>
    <xdr:to>
      <xdr:col>14</xdr:col>
      <xdr:colOff>220980</xdr:colOff>
      <xdr:row>15</xdr:row>
      <xdr:rowOff>182880</xdr:rowOff>
    </xdr:to>
    <xdr:sp macro="" textlink="">
      <xdr:nvSpPr>
        <xdr:cNvPr id="8" name="TextBox 7"/>
        <xdr:cNvSpPr txBox="1"/>
      </xdr:nvSpPr>
      <xdr:spPr>
        <a:xfrm>
          <a:off x="7833360" y="3086100"/>
          <a:ext cx="2270760" cy="44196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=СУММПРОИЗВ(</a:t>
          </a:r>
          <a:r>
            <a:rPr lang="en-US" sz="1100"/>
            <a:t>C7:F10;C16:F19)</a:t>
          </a:r>
          <a:endParaRPr lang="ru-RU" sz="1100"/>
        </a:p>
      </xdr:txBody>
    </xdr:sp>
    <xdr:clientData/>
  </xdr:twoCellAnchor>
  <xdr:twoCellAnchor>
    <xdr:from>
      <xdr:col>10</xdr:col>
      <xdr:colOff>68579</xdr:colOff>
      <xdr:row>13</xdr:row>
      <xdr:rowOff>152400</xdr:rowOff>
    </xdr:from>
    <xdr:to>
      <xdr:col>10</xdr:col>
      <xdr:colOff>510538</xdr:colOff>
      <xdr:row>15</xdr:row>
      <xdr:rowOff>167640</xdr:rowOff>
    </xdr:to>
    <xdr:sp macro="" textlink="">
      <xdr:nvSpPr>
        <xdr:cNvPr id="9" name="Стрелка вниз 8"/>
        <xdr:cNvSpPr/>
      </xdr:nvSpPr>
      <xdr:spPr>
        <a:xfrm rot="5400000">
          <a:off x="6877049" y="3097530"/>
          <a:ext cx="388620" cy="441959"/>
        </a:xfrm>
        <a:prstGeom prst="downArrow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13</xdr:col>
      <xdr:colOff>0</xdr:colOff>
      <xdr:row>0</xdr:row>
      <xdr:rowOff>0</xdr:rowOff>
    </xdr:from>
    <xdr:to>
      <xdr:col>19</xdr:col>
      <xdr:colOff>0</xdr:colOff>
      <xdr:row>12</xdr:row>
      <xdr:rowOff>0</xdr:rowOff>
    </xdr:to>
    <xdr:sp macro="" textlink="">
      <xdr:nvSpPr>
        <xdr:cNvPr id="3" name="TextBox 2"/>
        <xdr:cNvSpPr txBox="1"/>
      </xdr:nvSpPr>
      <xdr:spPr>
        <a:xfrm>
          <a:off x="6804660" y="0"/>
          <a:ext cx="3657600" cy="278892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Имеются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n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рабочих и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видов работ. Стоимость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</a:t>
          </a:r>
          <a:r>
            <a:rPr lang="ru-RU" sz="1100" b="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выполнения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i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-м рабочим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-й работы приведена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А.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где рабочему соответствует строка,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 работе – столбец.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Составить оптимальный план работ так, чтобы: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а) все работы были выполнены, причем за каждой работой закреплен только один рабочий;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б) каждый рабочий был занят только на одной работе; 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в) суммарная стоимость выполнения всех работ была бы минимальной.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*Решить задачу при дополнительном условии: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работы каждого рабочего составляет не менее 15% от стоимости всех работ.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144780</xdr:colOff>
      <xdr:row>17</xdr:row>
      <xdr:rowOff>30480</xdr:rowOff>
    </xdr:from>
    <xdr:to>
      <xdr:col>10</xdr:col>
      <xdr:colOff>38100</xdr:colOff>
      <xdr:row>19</xdr:row>
      <xdr:rowOff>106680</xdr:rowOff>
    </xdr:to>
    <xdr:sp macro="" textlink="">
      <xdr:nvSpPr>
        <xdr:cNvPr id="10" name="TextBox 9"/>
        <xdr:cNvSpPr txBox="1"/>
      </xdr:nvSpPr>
      <xdr:spPr>
        <a:xfrm>
          <a:off x="5257800" y="3749040"/>
          <a:ext cx="2225040" cy="44196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=СУММПРОИЗВ(</a:t>
          </a:r>
          <a:r>
            <a:rPr lang="en-US" sz="1100"/>
            <a:t>C16:F16;C7:F7)</a:t>
          </a:r>
          <a:endParaRPr lang="ru-RU" sz="1100"/>
        </a:p>
      </xdr:txBody>
    </xdr:sp>
    <xdr:clientData/>
  </xdr:twoCellAnchor>
  <xdr:twoCellAnchor>
    <xdr:from>
      <xdr:col>7</xdr:col>
      <xdr:colOff>522899</xdr:colOff>
      <xdr:row>15</xdr:row>
      <xdr:rowOff>179967</xdr:rowOff>
    </xdr:from>
    <xdr:to>
      <xdr:col>8</xdr:col>
      <xdr:colOff>475151</xdr:colOff>
      <xdr:row>18</xdr:row>
      <xdr:rowOff>12327</xdr:rowOff>
    </xdr:to>
    <xdr:sp macro="" textlink="">
      <xdr:nvSpPr>
        <xdr:cNvPr id="11" name="Стрелка вниз 10"/>
        <xdr:cNvSpPr/>
      </xdr:nvSpPr>
      <xdr:spPr>
        <a:xfrm rot="7538701">
          <a:off x="4994825" y="3320421"/>
          <a:ext cx="388620" cy="798072"/>
        </a:xfrm>
        <a:prstGeom prst="downArrow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tolstyakoff.ru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tolstyakoff.ru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tolstyakoff.ru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tolstyakoff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zoomScaleNormal="100" workbookViewId="0">
      <selection activeCell="E6" sqref="E6"/>
    </sheetView>
  </sheetViews>
  <sheetFormatPr defaultRowHeight="14.4" x14ac:dyDescent="0.3"/>
  <cols>
    <col min="1" max="1" width="27.77734375" customWidth="1"/>
    <col min="5" max="5" width="14.21875" customWidth="1"/>
    <col min="7" max="7" width="25.5546875" customWidth="1"/>
  </cols>
  <sheetData>
    <row r="1" spans="1:15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s="1" customFormat="1" x14ac:dyDescent="0.3"/>
    <row r="3" spans="1:15" s="1" customFormat="1" x14ac:dyDescent="0.3">
      <c r="A3" s="7" t="s">
        <v>9</v>
      </c>
    </row>
    <row r="4" spans="1:15" x14ac:dyDescent="0.3">
      <c r="A4" s="52" t="s">
        <v>0</v>
      </c>
      <c r="B4" s="53" t="s">
        <v>1</v>
      </c>
      <c r="C4" s="53"/>
      <c r="D4" s="53"/>
      <c r="E4" s="53" t="s">
        <v>2</v>
      </c>
    </row>
    <row r="5" spans="1:15" x14ac:dyDescent="0.3">
      <c r="A5" s="52"/>
      <c r="B5" s="3" t="s">
        <v>3</v>
      </c>
      <c r="C5" s="3" t="s">
        <v>4</v>
      </c>
      <c r="D5" s="3" t="s">
        <v>5</v>
      </c>
      <c r="E5" s="53"/>
    </row>
    <row r="6" spans="1:15" x14ac:dyDescent="0.3">
      <c r="A6" s="3" t="s">
        <v>6</v>
      </c>
      <c r="B6" s="4">
        <v>0.05</v>
      </c>
      <c r="C6" s="8">
        <v>1.6E-2</v>
      </c>
      <c r="D6" s="8">
        <v>2.9000000000000001E-2</v>
      </c>
      <c r="E6" s="18">
        <v>320</v>
      </c>
    </row>
    <row r="7" spans="1:15" x14ac:dyDescent="0.3">
      <c r="A7" s="3" t="s">
        <v>7</v>
      </c>
      <c r="B7" s="4">
        <v>0.04</v>
      </c>
      <c r="C7" s="8">
        <v>6.4000000000000001E-2</v>
      </c>
      <c r="D7" s="8">
        <v>5.8000000000000003E-2</v>
      </c>
      <c r="E7" s="3">
        <v>320</v>
      </c>
    </row>
    <row r="8" spans="1:15" x14ac:dyDescent="0.3">
      <c r="A8" s="3" t="s">
        <v>8</v>
      </c>
      <c r="B8" s="5">
        <v>1</v>
      </c>
      <c r="C8" s="5">
        <v>0.9</v>
      </c>
      <c r="D8" s="5">
        <v>1</v>
      </c>
      <c r="E8" s="6"/>
    </row>
    <row r="11" spans="1:15" x14ac:dyDescent="0.3">
      <c r="E11" s="7" t="s">
        <v>10</v>
      </c>
    </row>
    <row r="12" spans="1:15" ht="15.6" x14ac:dyDescent="0.3">
      <c r="A12" s="54" t="s">
        <v>2</v>
      </c>
      <c r="B12" s="18" t="s">
        <v>11</v>
      </c>
      <c r="C12" s="18" t="s">
        <v>11</v>
      </c>
      <c r="D12" s="18" t="s">
        <v>11</v>
      </c>
      <c r="E12" s="18" t="s">
        <v>11</v>
      </c>
    </row>
    <row r="13" spans="1:15" x14ac:dyDescent="0.3">
      <c r="A13" s="55"/>
      <c r="B13" s="3">
        <v>80</v>
      </c>
      <c r="C13" s="3">
        <v>160</v>
      </c>
      <c r="D13" s="3">
        <v>320</v>
      </c>
      <c r="E13" s="3">
        <v>640</v>
      </c>
    </row>
    <row r="17" spans="1:7" x14ac:dyDescent="0.3">
      <c r="A17" s="52" t="s">
        <v>0</v>
      </c>
      <c r="B17" s="53" t="s">
        <v>1</v>
      </c>
      <c r="C17" s="53"/>
      <c r="D17" s="53"/>
    </row>
    <row r="18" spans="1:7" x14ac:dyDescent="0.3">
      <c r="A18" s="52"/>
      <c r="B18" s="18" t="s">
        <v>3</v>
      </c>
      <c r="C18" s="18" t="s">
        <v>4</v>
      </c>
      <c r="D18" s="18" t="s">
        <v>5</v>
      </c>
      <c r="E18" s="30"/>
      <c r="G18" s="30"/>
    </row>
    <row r="19" spans="1:7" ht="15" thickBot="1" x14ac:dyDescent="0.35">
      <c r="A19" s="18" t="s">
        <v>6</v>
      </c>
      <c r="B19" s="35">
        <v>0</v>
      </c>
      <c r="C19" s="35">
        <v>56</v>
      </c>
      <c r="D19" s="35">
        <v>34</v>
      </c>
      <c r="E19" s="31">
        <f>SUM(B19:D19)</f>
        <v>90</v>
      </c>
      <c r="F19" s="31"/>
      <c r="G19" s="30"/>
    </row>
    <row r="20" spans="1:7" x14ac:dyDescent="0.3">
      <c r="A20" s="18" t="s">
        <v>7</v>
      </c>
      <c r="B20" s="35">
        <v>25</v>
      </c>
      <c r="C20" s="35">
        <v>0</v>
      </c>
      <c r="D20" s="35">
        <v>0</v>
      </c>
      <c r="E20" s="31">
        <f>SUM(B20:D20)</f>
        <v>25</v>
      </c>
      <c r="F20" s="31"/>
      <c r="G20" s="34" t="s">
        <v>46</v>
      </c>
    </row>
    <row r="21" spans="1:7" ht="15" thickBot="1" x14ac:dyDescent="0.35">
      <c r="B21" s="36">
        <f>SUMPRODUCT(B19:B20,B6:B7)</f>
        <v>1</v>
      </c>
      <c r="C21" s="36">
        <f t="shared" ref="C21:D21" si="0">SUMPRODUCT(C19:C20,C6:C7)</f>
        <v>0.89600000000000002</v>
      </c>
      <c r="D21" s="36">
        <f t="shared" si="0"/>
        <v>0.9860000000000001</v>
      </c>
      <c r="E21" s="31"/>
      <c r="F21" s="31"/>
      <c r="G21" s="33">
        <f>SUMPRODUCT(E19:E20,E6:E7)</f>
        <v>36800</v>
      </c>
    </row>
  </sheetData>
  <mergeCells count="6">
    <mergeCell ref="A4:A5"/>
    <mergeCell ref="B4:D4"/>
    <mergeCell ref="E4:E5"/>
    <mergeCell ref="A12:A13"/>
    <mergeCell ref="A17:A18"/>
    <mergeCell ref="B17:D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workbookViewId="0">
      <selection activeCell="A4" sqref="A4:C11"/>
    </sheetView>
  </sheetViews>
  <sheetFormatPr defaultRowHeight="14.4" x14ac:dyDescent="0.3"/>
  <cols>
    <col min="1" max="1" width="17.109375" customWidth="1"/>
    <col min="2" max="2" width="18.33203125" customWidth="1"/>
    <col min="3" max="3" width="16.88671875" customWidth="1"/>
    <col min="4" max="4" width="3.88671875" customWidth="1"/>
    <col min="7" max="7" width="14.21875" customWidth="1"/>
    <col min="8" max="8" width="27.44140625" customWidth="1"/>
  </cols>
  <sheetData>
    <row r="1" spans="1:13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s="1" customFormat="1" x14ac:dyDescent="0.3">
      <c r="A2" s="14" t="s">
        <v>12</v>
      </c>
    </row>
    <row r="3" spans="1:13" s="1" customFormat="1" x14ac:dyDescent="0.3">
      <c r="A3" s="7" t="s">
        <v>9</v>
      </c>
    </row>
    <row r="4" spans="1:13" ht="27.6" x14ac:dyDescent="0.3">
      <c r="A4" s="12" t="s">
        <v>25</v>
      </c>
      <c r="B4" s="11" t="s">
        <v>26</v>
      </c>
      <c r="C4" s="16" t="s">
        <v>24</v>
      </c>
      <c r="D4" s="38"/>
      <c r="E4" s="13" t="s">
        <v>56</v>
      </c>
      <c r="F4" s="13" t="s">
        <v>57</v>
      </c>
      <c r="G4" s="13" t="s">
        <v>47</v>
      </c>
      <c r="H4" s="37" t="s">
        <v>48</v>
      </c>
    </row>
    <row r="5" spans="1:13" x14ac:dyDescent="0.3">
      <c r="A5" s="12"/>
      <c r="B5" s="12" t="s">
        <v>17</v>
      </c>
      <c r="C5" s="10">
        <v>17</v>
      </c>
      <c r="D5" s="20"/>
      <c r="E5" s="40">
        <f>F6+F7+F8+F9+F10</f>
        <v>17</v>
      </c>
      <c r="F5" s="39">
        <v>6</v>
      </c>
      <c r="G5" s="19">
        <v>1</v>
      </c>
      <c r="H5" s="31" t="s">
        <v>51</v>
      </c>
    </row>
    <row r="6" spans="1:13" x14ac:dyDescent="0.3">
      <c r="A6" s="12"/>
      <c r="B6" s="12" t="s">
        <v>18</v>
      </c>
      <c r="C6" s="10">
        <v>13</v>
      </c>
      <c r="D6" s="20"/>
      <c r="E6" s="40">
        <f>F7+F8+F9+F10+F11</f>
        <v>13</v>
      </c>
      <c r="F6" s="39">
        <v>6</v>
      </c>
      <c r="G6" s="19">
        <v>2</v>
      </c>
      <c r="H6" s="31" t="s">
        <v>52</v>
      </c>
    </row>
    <row r="7" spans="1:13" x14ac:dyDescent="0.3">
      <c r="A7" s="12"/>
      <c r="B7" s="12" t="s">
        <v>19</v>
      </c>
      <c r="C7" s="10">
        <v>14</v>
      </c>
      <c r="D7" s="20"/>
      <c r="E7" s="40">
        <f>F5+F8+F9+F10+F11</f>
        <v>16</v>
      </c>
      <c r="F7" s="39">
        <v>3</v>
      </c>
      <c r="G7" s="19">
        <v>3</v>
      </c>
      <c r="H7" s="31" t="s">
        <v>53</v>
      </c>
    </row>
    <row r="8" spans="1:13" x14ac:dyDescent="0.3">
      <c r="A8" s="12"/>
      <c r="B8" s="12" t="s">
        <v>20</v>
      </c>
      <c r="C8" s="10">
        <v>15</v>
      </c>
      <c r="D8" s="20"/>
      <c r="E8" s="40">
        <f>F5+F6+F9+F10+F11</f>
        <v>15</v>
      </c>
      <c r="F8" s="39">
        <v>7</v>
      </c>
      <c r="G8" s="19">
        <v>4</v>
      </c>
      <c r="H8" s="31" t="s">
        <v>54</v>
      </c>
    </row>
    <row r="9" spans="1:13" x14ac:dyDescent="0.3">
      <c r="A9" s="12"/>
      <c r="B9" s="12" t="s">
        <v>21</v>
      </c>
      <c r="C9" s="10">
        <v>18</v>
      </c>
      <c r="D9" s="20"/>
      <c r="E9" s="40">
        <f>F5+F6+F7+F10+F11</f>
        <v>18</v>
      </c>
      <c r="F9" s="39">
        <v>0</v>
      </c>
      <c r="G9" s="19">
        <v>5</v>
      </c>
      <c r="H9" s="31" t="s">
        <v>55</v>
      </c>
    </row>
    <row r="10" spans="1:13" x14ac:dyDescent="0.3">
      <c r="A10" s="12"/>
      <c r="B10" s="12" t="s">
        <v>22</v>
      </c>
      <c r="C10" s="10">
        <v>24</v>
      </c>
      <c r="D10" s="20"/>
      <c r="E10" s="40">
        <f>F5+F6+F7+F8+F11</f>
        <v>24</v>
      </c>
      <c r="F10" s="39">
        <v>1</v>
      </c>
      <c r="G10" s="19">
        <v>6</v>
      </c>
      <c r="H10" s="31" t="s">
        <v>49</v>
      </c>
    </row>
    <row r="11" spans="1:13" x14ac:dyDescent="0.3">
      <c r="A11" s="12"/>
      <c r="B11" s="12" t="s">
        <v>23</v>
      </c>
      <c r="C11" s="10">
        <v>22</v>
      </c>
      <c r="D11" s="20"/>
      <c r="E11" s="40">
        <f>F5+F6+F7+F8+F9</f>
        <v>22</v>
      </c>
      <c r="F11" s="39">
        <v>2</v>
      </c>
      <c r="G11" s="19">
        <v>7</v>
      </c>
      <c r="H11" s="31" t="s">
        <v>50</v>
      </c>
    </row>
    <row r="12" spans="1:13" x14ac:dyDescent="0.3">
      <c r="A12" s="13"/>
      <c r="B12" s="13"/>
      <c r="C12" s="13"/>
      <c r="D12" s="13"/>
      <c r="E12" s="13"/>
      <c r="F12" s="13"/>
      <c r="G12" s="13"/>
    </row>
    <row r="13" spans="1:13" ht="15" thickBot="1" x14ac:dyDescent="0.35">
      <c r="A13" s="7" t="s">
        <v>13</v>
      </c>
      <c r="B13" s="13"/>
      <c r="C13" s="13"/>
      <c r="D13" s="13"/>
      <c r="E13" s="13"/>
      <c r="F13" s="13"/>
      <c r="G13" s="13"/>
    </row>
    <row r="14" spans="1:13" x14ac:dyDescent="0.3">
      <c r="A14" s="11" t="s">
        <v>14</v>
      </c>
      <c r="B14" s="11" t="s">
        <v>15</v>
      </c>
      <c r="C14" s="9" t="s">
        <v>16</v>
      </c>
      <c r="D14" s="38"/>
      <c r="H14" s="34" t="s">
        <v>46</v>
      </c>
    </row>
    <row r="15" spans="1:13" ht="15" thickBot="1" x14ac:dyDescent="0.35">
      <c r="A15" s="15"/>
      <c r="B15" s="12" t="s">
        <v>17</v>
      </c>
      <c r="C15" s="10">
        <v>1000</v>
      </c>
      <c r="D15" s="20"/>
      <c r="H15" s="33">
        <f>SUMPRODUCT(E5:E11,C15:C21)</f>
        <v>229500</v>
      </c>
    </row>
    <row r="16" spans="1:13" x14ac:dyDescent="0.3">
      <c r="A16" s="15"/>
      <c r="B16" s="12" t="s">
        <v>18</v>
      </c>
      <c r="C16" s="10">
        <v>2000</v>
      </c>
      <c r="D16" s="20"/>
    </row>
    <row r="17" spans="1:4" x14ac:dyDescent="0.3">
      <c r="A17" s="15"/>
      <c r="B17" s="12" t="s">
        <v>19</v>
      </c>
      <c r="C17" s="10">
        <v>1000</v>
      </c>
      <c r="D17" s="20"/>
    </row>
    <row r="18" spans="1:4" x14ac:dyDescent="0.3">
      <c r="A18" s="15"/>
      <c r="B18" s="12" t="s">
        <v>20</v>
      </c>
      <c r="C18" s="10">
        <v>500</v>
      </c>
      <c r="D18" s="20"/>
    </row>
    <row r="19" spans="1:4" x14ac:dyDescent="0.3">
      <c r="A19" s="15"/>
      <c r="B19" s="12" t="s">
        <v>21</v>
      </c>
      <c r="C19" s="10">
        <v>2000</v>
      </c>
      <c r="D19" s="20"/>
    </row>
    <row r="20" spans="1:4" x14ac:dyDescent="0.3">
      <c r="A20" s="15"/>
      <c r="B20" s="12" t="s">
        <v>22</v>
      </c>
      <c r="C20" s="10">
        <v>3000</v>
      </c>
      <c r="D20" s="20"/>
    </row>
    <row r="21" spans="1:4" x14ac:dyDescent="0.3">
      <c r="A21" s="15"/>
      <c r="B21" s="12" t="s">
        <v>23</v>
      </c>
      <c r="C21" s="10">
        <v>2500</v>
      </c>
      <c r="D21" s="20"/>
    </row>
  </sheetData>
  <hyperlinks>
    <hyperlink ref="A2" r:id="rId1"/>
  </hyperlinks>
  <pageMargins left="0.7" right="0.7" top="0.75" bottom="0.75" header="0.3" footer="0.3"/>
  <pageSetup paperSize="9" orientation="portrait" horizontalDpi="0" verticalDpi="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topLeftCell="A6" zoomScaleNormal="100" workbookViewId="0">
      <selection activeCell="B6" sqref="B6:G10"/>
    </sheetView>
  </sheetViews>
  <sheetFormatPr defaultRowHeight="14.4" x14ac:dyDescent="0.3"/>
  <cols>
    <col min="1" max="1" width="6.33203125" customWidth="1"/>
    <col min="2" max="2" width="17.21875" customWidth="1"/>
    <col min="3" max="7" width="14.33203125" customWidth="1"/>
    <col min="8" max="9" width="8.33203125" customWidth="1"/>
    <col min="10" max="10" width="19.21875" customWidth="1"/>
  </cols>
  <sheetData>
    <row r="1" spans="1:16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s="1" customFormat="1" x14ac:dyDescent="0.3">
      <c r="A2" s="14" t="s">
        <v>12</v>
      </c>
    </row>
    <row r="3" spans="1:16" s="1" customFormat="1" x14ac:dyDescent="0.3">
      <c r="A3" s="7"/>
    </row>
    <row r="5" spans="1:16" x14ac:dyDescent="0.3">
      <c r="A5" s="19"/>
      <c r="B5" s="20"/>
      <c r="C5" s="17">
        <v>1</v>
      </c>
      <c r="D5" s="17">
        <v>2</v>
      </c>
      <c r="E5" s="17">
        <v>3</v>
      </c>
      <c r="F5" s="17">
        <v>4</v>
      </c>
      <c r="G5" s="17">
        <v>5</v>
      </c>
      <c r="H5" s="17"/>
      <c r="I5" s="20"/>
      <c r="J5" s="20"/>
    </row>
    <row r="6" spans="1:16" ht="27.6" x14ac:dyDescent="0.3">
      <c r="A6" s="19"/>
      <c r="B6" s="19"/>
      <c r="C6" s="17" t="s">
        <v>27</v>
      </c>
      <c r="D6" s="17" t="s">
        <v>28</v>
      </c>
      <c r="E6" s="17" t="s">
        <v>29</v>
      </c>
      <c r="F6" s="17" t="s">
        <v>30</v>
      </c>
      <c r="G6" s="17" t="s">
        <v>31</v>
      </c>
      <c r="H6" s="17"/>
      <c r="I6" s="20"/>
      <c r="J6" s="20"/>
    </row>
    <row r="7" spans="1:16" x14ac:dyDescent="0.3">
      <c r="A7" s="12">
        <v>1</v>
      </c>
      <c r="B7" s="12" t="s">
        <v>32</v>
      </c>
      <c r="C7" s="17">
        <v>1.5</v>
      </c>
      <c r="D7" s="17">
        <v>2</v>
      </c>
      <c r="E7" s="17">
        <v>1.75</v>
      </c>
      <c r="F7" s="17">
        <v>2.25</v>
      </c>
      <c r="G7" s="17">
        <v>2.25</v>
      </c>
      <c r="H7" s="49">
        <v>200</v>
      </c>
      <c r="I7" s="20"/>
      <c r="J7" s="20"/>
    </row>
    <row r="8" spans="1:16" x14ac:dyDescent="0.3">
      <c r="A8" s="12">
        <v>2</v>
      </c>
      <c r="B8" s="12" t="s">
        <v>33</v>
      </c>
      <c r="C8" s="17">
        <v>2.5</v>
      </c>
      <c r="D8" s="17">
        <v>2</v>
      </c>
      <c r="E8" s="17">
        <v>1.75</v>
      </c>
      <c r="F8" s="17">
        <v>1</v>
      </c>
      <c r="G8" s="17">
        <v>1.5</v>
      </c>
      <c r="H8" s="49">
        <v>150</v>
      </c>
      <c r="I8" s="20"/>
      <c r="J8" s="20"/>
    </row>
    <row r="9" spans="1:16" x14ac:dyDescent="0.3">
      <c r="A9" s="12">
        <v>3</v>
      </c>
      <c r="B9" s="12" t="s">
        <v>34</v>
      </c>
      <c r="C9" s="17">
        <v>2</v>
      </c>
      <c r="D9" s="17">
        <v>1.5</v>
      </c>
      <c r="E9" s="17">
        <v>1.5</v>
      </c>
      <c r="F9" s="17">
        <v>1.75</v>
      </c>
      <c r="G9" s="17">
        <v>1.75</v>
      </c>
      <c r="H9" s="49">
        <v>225</v>
      </c>
      <c r="I9" s="20"/>
      <c r="J9" s="20"/>
    </row>
    <row r="10" spans="1:16" x14ac:dyDescent="0.3">
      <c r="A10" s="12">
        <v>4</v>
      </c>
      <c r="B10" s="12" t="s">
        <v>28</v>
      </c>
      <c r="C10" s="17">
        <v>2</v>
      </c>
      <c r="D10" s="17">
        <v>0.5</v>
      </c>
      <c r="E10" s="17">
        <v>1.75</v>
      </c>
      <c r="F10" s="17">
        <v>1.75</v>
      </c>
      <c r="G10" s="17">
        <v>1.75</v>
      </c>
      <c r="H10" s="49">
        <v>175</v>
      </c>
      <c r="I10" s="20"/>
      <c r="J10" s="20"/>
    </row>
    <row r="11" spans="1:16" x14ac:dyDescent="0.3">
      <c r="A11" s="12"/>
      <c r="B11" s="12"/>
      <c r="C11" s="48">
        <v>100</v>
      </c>
      <c r="D11" s="48">
        <v>200</v>
      </c>
      <c r="E11" s="48">
        <v>50</v>
      </c>
      <c r="F11" s="48">
        <v>250</v>
      </c>
      <c r="G11" s="48">
        <v>150</v>
      </c>
      <c r="H11" s="17"/>
      <c r="I11" s="20"/>
      <c r="J11" s="20"/>
    </row>
    <row r="13" spans="1:16" x14ac:dyDescent="0.3">
      <c r="B13" s="7" t="s">
        <v>9</v>
      </c>
    </row>
    <row r="14" spans="1:16" ht="13.8" customHeight="1" x14ac:dyDescent="0.3">
      <c r="B14" s="12"/>
      <c r="C14" s="17" t="s">
        <v>27</v>
      </c>
      <c r="D14" s="17" t="s">
        <v>28</v>
      </c>
      <c r="E14" s="17" t="s">
        <v>29</v>
      </c>
      <c r="F14" s="17" t="s">
        <v>30</v>
      </c>
      <c r="G14" s="17" t="s">
        <v>31</v>
      </c>
    </row>
    <row r="15" spans="1:16" x14ac:dyDescent="0.3">
      <c r="B15" s="12" t="s">
        <v>32</v>
      </c>
      <c r="C15" s="41">
        <v>100</v>
      </c>
      <c r="D15" s="41">
        <v>1</v>
      </c>
      <c r="E15" s="41">
        <v>50</v>
      </c>
      <c r="F15" s="41">
        <v>0</v>
      </c>
      <c r="G15" s="41">
        <v>49</v>
      </c>
      <c r="H15" s="42">
        <f>SUM(C15:G15)</f>
        <v>200</v>
      </c>
      <c r="I15" s="31"/>
      <c r="J15" s="31"/>
    </row>
    <row r="16" spans="1:16" x14ac:dyDescent="0.3">
      <c r="B16" s="12" t="s">
        <v>33</v>
      </c>
      <c r="C16" s="41">
        <v>0</v>
      </c>
      <c r="D16" s="41">
        <v>0</v>
      </c>
      <c r="E16" s="41">
        <v>0</v>
      </c>
      <c r="F16" s="41">
        <v>150</v>
      </c>
      <c r="G16" s="41">
        <v>0</v>
      </c>
      <c r="H16" s="42">
        <f t="shared" ref="H16:H18" si="0">SUM(C16:G16)</f>
        <v>150</v>
      </c>
      <c r="I16" s="31"/>
      <c r="J16" s="31"/>
    </row>
    <row r="17" spans="2:10" x14ac:dyDescent="0.3">
      <c r="B17" s="12" t="s">
        <v>34</v>
      </c>
      <c r="C17" s="41">
        <v>0</v>
      </c>
      <c r="D17" s="41">
        <v>24</v>
      </c>
      <c r="E17" s="41">
        <v>0</v>
      </c>
      <c r="F17" s="41">
        <v>100</v>
      </c>
      <c r="G17" s="41">
        <v>101</v>
      </c>
      <c r="H17" s="42">
        <f t="shared" si="0"/>
        <v>225</v>
      </c>
      <c r="I17" s="31"/>
      <c r="J17" s="31"/>
    </row>
    <row r="18" spans="2:10" x14ac:dyDescent="0.3">
      <c r="B18" s="12" t="s">
        <v>28</v>
      </c>
      <c r="C18" s="41">
        <v>0</v>
      </c>
      <c r="D18" s="41">
        <v>175</v>
      </c>
      <c r="E18" s="41">
        <v>0</v>
      </c>
      <c r="F18" s="41">
        <v>0</v>
      </c>
      <c r="G18" s="41">
        <v>0</v>
      </c>
      <c r="H18" s="42">
        <f t="shared" si="0"/>
        <v>175</v>
      </c>
      <c r="I18" s="31"/>
      <c r="J18" s="31"/>
    </row>
    <row r="19" spans="2:10" ht="15" thickBot="1" x14ac:dyDescent="0.35">
      <c r="C19" s="50">
        <f>SUM(C15:C18)</f>
        <v>100</v>
      </c>
      <c r="D19" s="50">
        <f t="shared" ref="D19:G19" si="1">SUM(D15:D18)</f>
        <v>200</v>
      </c>
      <c r="E19" s="50">
        <f t="shared" si="1"/>
        <v>50</v>
      </c>
      <c r="F19" s="50">
        <f t="shared" si="1"/>
        <v>250</v>
      </c>
      <c r="G19" s="50">
        <f t="shared" si="1"/>
        <v>150</v>
      </c>
      <c r="H19" s="31"/>
      <c r="I19" s="31"/>
      <c r="J19" s="31"/>
    </row>
    <row r="20" spans="2:10" x14ac:dyDescent="0.3">
      <c r="C20" s="31"/>
      <c r="D20" s="31"/>
      <c r="E20" s="31"/>
      <c r="F20" s="31"/>
      <c r="G20" s="31"/>
      <c r="H20" s="31"/>
      <c r="I20" s="31"/>
      <c r="J20" s="34" t="s">
        <v>46</v>
      </c>
    </row>
    <row r="21" spans="2:10" ht="15" thickBot="1" x14ac:dyDescent="0.35">
      <c r="C21" s="31"/>
      <c r="D21" s="31"/>
      <c r="E21" s="31"/>
      <c r="F21" s="31"/>
      <c r="G21" s="31"/>
      <c r="H21" s="31"/>
      <c r="I21" s="31"/>
      <c r="J21" s="33">
        <f>SUMPRODUCT(C15:G18,C7:G10)</f>
        <v>975</v>
      </c>
    </row>
    <row r="22" spans="2:10" x14ac:dyDescent="0.3">
      <c r="C22" s="31"/>
      <c r="D22" s="31"/>
      <c r="E22" s="31"/>
      <c r="F22" s="31"/>
      <c r="G22" s="31"/>
      <c r="H22" s="31"/>
      <c r="I22" s="31"/>
      <c r="J22" s="31"/>
    </row>
    <row r="23" spans="2:10" x14ac:dyDescent="0.3">
      <c r="C23" s="31"/>
      <c r="D23" s="31"/>
      <c r="E23" s="31"/>
      <c r="F23" s="31"/>
      <c r="G23" s="31"/>
      <c r="H23" s="31"/>
      <c r="I23" s="31"/>
      <c r="J23" s="31"/>
    </row>
    <row r="24" spans="2:10" x14ac:dyDescent="0.3">
      <c r="C24" s="31"/>
      <c r="D24" s="31"/>
      <c r="E24" s="31"/>
      <c r="F24" s="31"/>
      <c r="G24" s="31"/>
      <c r="H24" s="31"/>
      <c r="I24" s="31"/>
      <c r="J24" s="31"/>
    </row>
    <row r="25" spans="2:10" x14ac:dyDescent="0.3">
      <c r="C25" s="31"/>
      <c r="D25" s="31"/>
      <c r="E25" s="31"/>
      <c r="F25" s="31"/>
      <c r="G25" s="31"/>
      <c r="H25" s="31"/>
      <c r="I25" s="31"/>
      <c r="J25" s="31"/>
    </row>
    <row r="26" spans="2:10" x14ac:dyDescent="0.3">
      <c r="C26" s="31"/>
      <c r="D26" s="31"/>
      <c r="E26" s="31"/>
      <c r="F26" s="31"/>
      <c r="G26" s="31"/>
      <c r="H26" s="31"/>
      <c r="I26" s="31"/>
      <c r="J26" s="31"/>
    </row>
  </sheetData>
  <hyperlinks>
    <hyperlink ref="A2" r:id="rId1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zoomScaleNormal="100" workbookViewId="0">
      <selection activeCell="A5" sqref="A5:C13"/>
    </sheetView>
  </sheetViews>
  <sheetFormatPr defaultRowHeight="14.4" x14ac:dyDescent="0.3"/>
  <cols>
    <col min="2" max="3" width="16.6640625" customWidth="1"/>
    <col min="9" max="9" width="11.109375" customWidth="1"/>
    <col min="10" max="10" width="14.21875" customWidth="1"/>
  </cols>
  <sheetData>
    <row r="1" spans="1:12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14" t="s">
        <v>12</v>
      </c>
    </row>
    <row r="4" spans="1:12" x14ac:dyDescent="0.3">
      <c r="A4" s="7" t="s">
        <v>9</v>
      </c>
      <c r="E4" s="7" t="s">
        <v>38</v>
      </c>
      <c r="G4" s="31"/>
      <c r="H4" s="31"/>
      <c r="I4" s="31"/>
      <c r="J4" s="31"/>
      <c r="K4" s="31"/>
    </row>
    <row r="5" spans="1:12" x14ac:dyDescent="0.3">
      <c r="A5" s="12" t="s">
        <v>35</v>
      </c>
      <c r="B5" s="12" t="s">
        <v>36</v>
      </c>
      <c r="C5" s="12" t="s">
        <v>37</v>
      </c>
      <c r="E5" s="21" t="s">
        <v>39</v>
      </c>
      <c r="G5" s="31" t="s">
        <v>58</v>
      </c>
      <c r="H5" s="31"/>
      <c r="K5" s="31"/>
    </row>
    <row r="6" spans="1:12" x14ac:dyDescent="0.3">
      <c r="A6" s="12">
        <v>1</v>
      </c>
      <c r="B6" s="12">
        <v>22000</v>
      </c>
      <c r="C6" s="12">
        <v>9000</v>
      </c>
      <c r="E6" s="22">
        <v>80000</v>
      </c>
      <c r="G6" s="35">
        <v>1</v>
      </c>
      <c r="H6" s="31"/>
      <c r="K6" s="31"/>
    </row>
    <row r="7" spans="1:12" x14ac:dyDescent="0.3">
      <c r="A7" s="12">
        <v>2</v>
      </c>
      <c r="B7" s="12">
        <v>16000</v>
      </c>
      <c r="C7" s="12">
        <v>7000</v>
      </c>
      <c r="E7" s="22">
        <v>80000</v>
      </c>
      <c r="G7" s="35">
        <v>1</v>
      </c>
      <c r="H7" s="31"/>
      <c r="I7" s="31"/>
      <c r="J7" s="31"/>
      <c r="K7" s="31"/>
    </row>
    <row r="8" spans="1:12" x14ac:dyDescent="0.3">
      <c r="A8" s="12">
        <v>3</v>
      </c>
      <c r="B8" s="12">
        <v>12000</v>
      </c>
      <c r="C8" s="12">
        <v>5500</v>
      </c>
      <c r="G8" s="35">
        <v>1</v>
      </c>
      <c r="H8" s="31"/>
      <c r="I8" s="31" t="s">
        <v>59</v>
      </c>
      <c r="J8" s="32">
        <f>SUMPRODUCT(G6:G13,B6:B13)</f>
        <v>79500</v>
      </c>
      <c r="K8" s="31"/>
    </row>
    <row r="9" spans="1:12" x14ac:dyDescent="0.3">
      <c r="A9" s="12">
        <v>4</v>
      </c>
      <c r="B9" s="12">
        <v>10000</v>
      </c>
      <c r="C9" s="12">
        <v>5000</v>
      </c>
      <c r="G9" s="35">
        <v>1</v>
      </c>
      <c r="H9" s="31"/>
      <c r="I9" s="31" t="s">
        <v>60</v>
      </c>
      <c r="J9" s="44">
        <f>SUMPRODUCT(G6:G13,C6:C13)</f>
        <v>37000</v>
      </c>
      <c r="K9" s="31"/>
    </row>
    <row r="10" spans="1:12" x14ac:dyDescent="0.3">
      <c r="A10" s="12">
        <v>5</v>
      </c>
      <c r="B10" s="12">
        <v>8000</v>
      </c>
      <c r="C10" s="12">
        <v>4500</v>
      </c>
      <c r="G10" s="35">
        <v>1</v>
      </c>
      <c r="H10" s="31"/>
      <c r="I10" s="31"/>
      <c r="J10" s="31"/>
      <c r="K10" s="31"/>
    </row>
    <row r="11" spans="1:12" x14ac:dyDescent="0.3">
      <c r="A11" s="12">
        <v>6</v>
      </c>
      <c r="B11" s="12">
        <v>7500</v>
      </c>
      <c r="C11" s="12">
        <v>3500</v>
      </c>
      <c r="G11" s="35">
        <v>1</v>
      </c>
      <c r="H11" s="31"/>
      <c r="I11" s="31"/>
      <c r="J11" s="31"/>
      <c r="K11" s="31"/>
    </row>
    <row r="12" spans="1:12" x14ac:dyDescent="0.3">
      <c r="A12" s="12">
        <v>7</v>
      </c>
      <c r="B12" s="12">
        <v>7000</v>
      </c>
      <c r="C12" s="12">
        <v>3000</v>
      </c>
      <c r="G12" s="35">
        <v>0</v>
      </c>
      <c r="H12" s="31"/>
      <c r="I12" s="31"/>
      <c r="J12" s="31"/>
      <c r="K12" s="31"/>
    </row>
    <row r="13" spans="1:12" x14ac:dyDescent="0.3">
      <c r="A13" s="12">
        <v>8</v>
      </c>
      <c r="B13" s="12">
        <v>4000</v>
      </c>
      <c r="C13" s="12">
        <v>2500</v>
      </c>
      <c r="G13" s="35">
        <v>1</v>
      </c>
      <c r="H13" s="31"/>
      <c r="I13" s="31"/>
      <c r="J13" s="31"/>
      <c r="K13" s="31"/>
    </row>
  </sheetData>
  <hyperlinks>
    <hyperlink ref="A2" r:id="rId1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tabSelected="1" workbookViewId="0">
      <selection activeCell="J21" sqref="J21"/>
    </sheetView>
  </sheetViews>
  <sheetFormatPr defaultRowHeight="14.4" x14ac:dyDescent="0.3"/>
  <cols>
    <col min="8" max="8" width="12.33203125" customWidth="1"/>
    <col min="9" max="9" width="15" customWidth="1"/>
    <col min="10" max="10" width="19" customWidth="1"/>
  </cols>
  <sheetData>
    <row r="1" spans="1:13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14" t="s">
        <v>12</v>
      </c>
    </row>
    <row r="5" spans="1:13" ht="19.2" customHeight="1" x14ac:dyDescent="0.3">
      <c r="A5" s="26"/>
      <c r="B5" s="27"/>
      <c r="C5" s="56" t="s">
        <v>40</v>
      </c>
      <c r="D5" s="56"/>
      <c r="E5" s="56"/>
      <c r="F5" s="57"/>
      <c r="G5" s="20"/>
      <c r="H5" s="20"/>
    </row>
    <row r="6" spans="1:13" ht="14.4" customHeight="1" x14ac:dyDescent="0.3">
      <c r="A6" s="28"/>
      <c r="B6" s="29"/>
      <c r="C6" s="24" t="s">
        <v>41</v>
      </c>
      <c r="D6" s="23" t="s">
        <v>42</v>
      </c>
      <c r="E6" s="23" t="s">
        <v>43</v>
      </c>
      <c r="F6" s="23" t="s">
        <v>44</v>
      </c>
      <c r="G6" s="20"/>
      <c r="H6" s="20"/>
    </row>
    <row r="7" spans="1:13" ht="22.8" customHeight="1" x14ac:dyDescent="0.3">
      <c r="A7" s="58" t="s">
        <v>45</v>
      </c>
      <c r="B7" s="25">
        <v>1</v>
      </c>
      <c r="C7" s="18">
        <v>3</v>
      </c>
      <c r="D7" s="18">
        <v>6</v>
      </c>
      <c r="E7" s="18">
        <v>2</v>
      </c>
      <c r="F7" s="18">
        <v>5</v>
      </c>
      <c r="G7" s="20"/>
      <c r="H7" s="20"/>
    </row>
    <row r="8" spans="1:13" x14ac:dyDescent="0.3">
      <c r="A8" s="58"/>
      <c r="B8" s="23">
        <v>2</v>
      </c>
      <c r="C8" s="18">
        <v>1</v>
      </c>
      <c r="D8" s="18">
        <v>2</v>
      </c>
      <c r="E8" s="18">
        <v>7</v>
      </c>
      <c r="F8" s="18">
        <v>11</v>
      </c>
      <c r="G8" s="20"/>
      <c r="H8" s="20"/>
    </row>
    <row r="9" spans="1:13" x14ac:dyDescent="0.3">
      <c r="A9" s="58"/>
      <c r="B9" s="23">
        <v>3</v>
      </c>
      <c r="C9" s="18">
        <v>5</v>
      </c>
      <c r="D9" s="18">
        <v>12</v>
      </c>
      <c r="E9" s="18">
        <v>11</v>
      </c>
      <c r="F9" s="18">
        <v>9</v>
      </c>
      <c r="G9" s="20"/>
      <c r="H9" s="20"/>
    </row>
    <row r="10" spans="1:13" x14ac:dyDescent="0.3">
      <c r="A10" s="59"/>
      <c r="B10" s="23">
        <v>4</v>
      </c>
      <c r="C10" s="18">
        <v>2</v>
      </c>
      <c r="D10" s="18">
        <v>4</v>
      </c>
      <c r="E10" s="18">
        <v>2</v>
      </c>
      <c r="F10" s="18">
        <v>10</v>
      </c>
      <c r="G10" s="20"/>
      <c r="H10" s="20"/>
    </row>
    <row r="13" spans="1:13" x14ac:dyDescent="0.3">
      <c r="H13" s="51"/>
    </row>
    <row r="14" spans="1:13" ht="15" thickBot="1" x14ac:dyDescent="0.35">
      <c r="A14" s="26"/>
      <c r="B14" s="27"/>
      <c r="C14" s="56" t="s">
        <v>40</v>
      </c>
      <c r="D14" s="56"/>
      <c r="E14" s="56"/>
      <c r="F14" s="57"/>
      <c r="G14" s="20"/>
      <c r="H14" s="20"/>
    </row>
    <row r="15" spans="1:13" x14ac:dyDescent="0.3">
      <c r="A15" s="28"/>
      <c r="B15" s="29"/>
      <c r="C15" s="24" t="s">
        <v>41</v>
      </c>
      <c r="D15" s="23" t="s">
        <v>42</v>
      </c>
      <c r="E15" s="23" t="s">
        <v>43</v>
      </c>
      <c r="F15" s="23" t="s">
        <v>44</v>
      </c>
      <c r="G15" s="20"/>
      <c r="H15" s="20" t="s">
        <v>61</v>
      </c>
      <c r="I15" s="47" t="s">
        <v>62</v>
      </c>
      <c r="J15" s="34" t="s">
        <v>46</v>
      </c>
      <c r="K15" s="46"/>
      <c r="L15" s="46"/>
      <c r="M15" s="46"/>
    </row>
    <row r="16" spans="1:13" ht="15" thickBot="1" x14ac:dyDescent="0.35">
      <c r="A16" s="58" t="s">
        <v>45</v>
      </c>
      <c r="B16" s="25">
        <v>1</v>
      </c>
      <c r="C16" s="41">
        <v>0</v>
      </c>
      <c r="D16" s="41">
        <v>0</v>
      </c>
      <c r="E16" s="41">
        <v>0</v>
      </c>
      <c r="F16" s="41">
        <v>1</v>
      </c>
      <c r="G16" s="45">
        <f>SUM(C16:F16)</f>
        <v>1</v>
      </c>
      <c r="H16" s="20">
        <f>SUMPRODUCT(C16:F16,C7:F7)</f>
        <v>5</v>
      </c>
      <c r="I16" s="31">
        <f>0.15*J16</f>
        <v>3.15</v>
      </c>
      <c r="J16" s="33">
        <f>SUMPRODUCT(C7:F10,C16:F19)</f>
        <v>21</v>
      </c>
      <c r="K16" s="46"/>
      <c r="L16" s="46"/>
      <c r="M16" s="46"/>
    </row>
    <row r="17" spans="1:9" x14ac:dyDescent="0.3">
      <c r="A17" s="58"/>
      <c r="B17" s="23">
        <v>2</v>
      </c>
      <c r="C17" s="41">
        <v>0</v>
      </c>
      <c r="D17" s="41">
        <v>0</v>
      </c>
      <c r="E17" s="41">
        <v>1</v>
      </c>
      <c r="F17" s="41">
        <v>0</v>
      </c>
      <c r="G17" s="45">
        <f t="shared" ref="G17:G19" si="0">SUM(C17:F17)</f>
        <v>1</v>
      </c>
      <c r="H17" s="20">
        <f t="shared" ref="H17:H19" si="1">SUMPRODUCT(C17:F17,C8:F8)</f>
        <v>7</v>
      </c>
      <c r="I17" s="31"/>
    </row>
    <row r="18" spans="1:9" x14ac:dyDescent="0.3">
      <c r="A18" s="58"/>
      <c r="B18" s="23">
        <v>3</v>
      </c>
      <c r="C18" s="41">
        <v>1</v>
      </c>
      <c r="D18" s="41">
        <v>0</v>
      </c>
      <c r="E18" s="41">
        <v>0</v>
      </c>
      <c r="F18" s="41">
        <v>0</v>
      </c>
      <c r="G18" s="45">
        <f t="shared" si="0"/>
        <v>1</v>
      </c>
      <c r="H18" s="20">
        <f t="shared" si="1"/>
        <v>5</v>
      </c>
      <c r="I18" s="31"/>
    </row>
    <row r="19" spans="1:9" x14ac:dyDescent="0.3">
      <c r="A19" s="59"/>
      <c r="B19" s="23">
        <v>4</v>
      </c>
      <c r="C19" s="41">
        <v>0</v>
      </c>
      <c r="D19" s="41">
        <v>1</v>
      </c>
      <c r="E19" s="41">
        <v>0</v>
      </c>
      <c r="F19" s="41">
        <v>0</v>
      </c>
      <c r="G19" s="45">
        <f t="shared" si="0"/>
        <v>1</v>
      </c>
      <c r="H19" s="20">
        <f t="shared" si="1"/>
        <v>4</v>
      </c>
      <c r="I19" s="31"/>
    </row>
    <row r="20" spans="1:9" x14ac:dyDescent="0.3">
      <c r="C20" s="43">
        <f>SUM(C16:C19)</f>
        <v>1</v>
      </c>
      <c r="D20" s="43">
        <f t="shared" ref="D20:F20" si="2">SUM(D16:D19)</f>
        <v>1</v>
      </c>
      <c r="E20" s="43">
        <f t="shared" si="2"/>
        <v>1</v>
      </c>
      <c r="F20" s="43">
        <f t="shared" si="2"/>
        <v>1</v>
      </c>
      <c r="G20" s="31"/>
      <c r="H20" s="31"/>
      <c r="I20" s="31"/>
    </row>
  </sheetData>
  <mergeCells count="4">
    <mergeCell ref="C5:F5"/>
    <mergeCell ref="A7:A10"/>
    <mergeCell ref="C14:F14"/>
    <mergeCell ref="A16:A19"/>
  </mergeCells>
  <conditionalFormatting sqref="C16:F19">
    <cfRule type="cellIs" dxfId="0" priority="1" operator="equal">
      <formula>1</formula>
    </cfRule>
  </conditionalFormatting>
  <hyperlinks>
    <hyperlink ref="A2" r:id="rId1"/>
  </hyperlinks>
  <pageMargins left="0.7" right="0.7" top="0.75" bottom="0.75" header="0.3" footer="0.3"/>
  <pageSetup paperSize="9" orientation="portrait" horizontalDpi="0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Оптимальный план</vt:lpstr>
      <vt:lpstr>Штатное расписание</vt:lpstr>
      <vt:lpstr>Транспортная задача</vt:lpstr>
      <vt:lpstr>Портфель инвестиций</vt:lpstr>
      <vt:lpstr>Назначения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2025-11-28T21:09:32Z</dcterms:created>
  <dcterms:modified xsi:type="dcterms:W3CDTF">2025-12-01T21:02:52Z</dcterms:modified>
</cp:coreProperties>
</file>